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hidePivotFieldList="1"/>
  <bookViews>
    <workbookView windowWidth="23040" windowHeight="9000" firstSheet="1" activeTab="1"/>
  </bookViews>
  <sheets>
    <sheet name="Orders Loaded" sheetId="3" state="hidden" r:id="rId1"/>
    <sheet name="Profitability Analysis" sheetId="8" r:id="rId2"/>
    <sheet name="Summary" sheetId="6" state="hidden" r:id="rId3"/>
    <sheet name="Offal" sheetId="7" state="hidden" r:id="rId4"/>
    <sheet name="Veal" sheetId="5" state="hidden" r:id="rId5"/>
    <sheet name="Financial Data" sheetId="1" state="hidden" r:id="rId6"/>
    <sheet name="Inputs" sheetId="2" r:id="rId7"/>
  </sheets>
  <definedNames>
    <definedName name="_xlnm._FilterDatabase" localSheetId="0" hidden="1">'Orders Loaded'!$B$4:$V$32</definedName>
    <definedName name="_xlnm._FilterDatabase" localSheetId="1" hidden="1">'Profitability Analysis'!$B$4:$U$36</definedName>
    <definedName name="_xlnm._FilterDatabase" localSheetId="4" hidden="1">Veal!$A$2:$B$347</definedName>
    <definedName name="_xlnm.Print_Area" localSheetId="0">'Orders Loaded'!$A$1:$W$34</definedName>
    <definedName name="_xlnm.Print_Area" localSheetId="1">'Profitability Analysis'!$A$1:$V$36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<sst xmlns="http://schemas.openxmlformats.org/spreadsheetml/2006/main" count="989" uniqueCount="210">
  <si>
    <t xml:space="preserve">ACTIVE ORDERS </t>
  </si>
  <si>
    <t>Janeth to update</t>
  </si>
  <si>
    <t>Pete to update</t>
  </si>
  <si>
    <t>Row Labels</t>
  </si>
  <si>
    <t>Customer Name</t>
  </si>
  <si>
    <t>Type</t>
  </si>
  <si>
    <t>Loadout Date</t>
  </si>
  <si>
    <t>Sum of Total QTY</t>
  </si>
  <si>
    <t>Average of Price AUD</t>
  </si>
  <si>
    <t>Sum of Amount AUD</t>
  </si>
  <si>
    <t>Product Type</t>
  </si>
  <si>
    <t>CIF or FAS ?</t>
  </si>
  <si>
    <t>NRV (per kg)</t>
  </si>
  <si>
    <t>Livestock Cost per kg (HSCW)</t>
  </si>
  <si>
    <t>Pack Cost</t>
  </si>
  <si>
    <t>Offal Return PH</t>
  </si>
  <si>
    <t>Avg Skin Return</t>
  </si>
  <si>
    <t>Avg Weight</t>
  </si>
  <si>
    <t>MoM PH</t>
  </si>
  <si>
    <t>Deposit Received</t>
  </si>
  <si>
    <t>Comments</t>
  </si>
  <si>
    <t>Do Not Buy Price</t>
  </si>
  <si>
    <t>Estimated number of heads required</t>
  </si>
  <si>
    <t>Total Livestock Cost</t>
  </si>
  <si>
    <t>CED18650</t>
  </si>
  <si>
    <t>SHANGHAI NEW SOURCE</t>
  </si>
  <si>
    <t>SHEEP</t>
  </si>
  <si>
    <t>(blank)</t>
  </si>
  <si>
    <t>6 WAY</t>
  </si>
  <si>
    <t>CIF</t>
  </si>
  <si>
    <t>CED18651</t>
  </si>
  <si>
    <t>CED18653</t>
  </si>
  <si>
    <t>DALIAN MAGIC INTERNATIONAL</t>
  </si>
  <si>
    <t>CED18655</t>
  </si>
  <si>
    <t>CED18658</t>
  </si>
  <si>
    <t>CHONGQING GOUZHAN INDUSTRIAL</t>
  </si>
  <si>
    <t>GOAT</t>
  </si>
  <si>
    <t>CED18659</t>
  </si>
  <si>
    <t>CED18660</t>
  </si>
  <si>
    <t>SHENZHEN YUESHI SUPPLY</t>
  </si>
  <si>
    <t>CED18662</t>
  </si>
  <si>
    <t>CCS</t>
  </si>
  <si>
    <t>9 Ton Loaded</t>
  </si>
  <si>
    <t>CED18663</t>
  </si>
  <si>
    <t>CED18664</t>
  </si>
  <si>
    <t>CEDD7045</t>
  </si>
  <si>
    <t>AGRICOMM</t>
  </si>
  <si>
    <t>VEAL</t>
  </si>
  <si>
    <t>FAS</t>
  </si>
  <si>
    <t>CEDD7047</t>
  </si>
  <si>
    <t>CEDD7048</t>
  </si>
  <si>
    <t>CEDD7049</t>
  </si>
  <si>
    <t>CEDD7050</t>
  </si>
  <si>
    <t>CEDD7057</t>
  </si>
  <si>
    <t>STELLA FOODS</t>
  </si>
  <si>
    <t>CEDD7062</t>
  </si>
  <si>
    <t>LAMB</t>
  </si>
  <si>
    <t>CEDD7063</t>
  </si>
  <si>
    <t>CEDD7065</t>
  </si>
  <si>
    <t>CEDD7069</t>
  </si>
  <si>
    <t>GLOBAL MEAT COMMODITIES</t>
  </si>
  <si>
    <t>CED18669</t>
  </si>
  <si>
    <t>CED18670</t>
  </si>
  <si>
    <t>CEDD7076</t>
  </si>
  <si>
    <t>CEDD7085</t>
  </si>
  <si>
    <t xml:space="preserve">BOUNTY FOODS </t>
  </si>
  <si>
    <t>FULL BONE</t>
  </si>
  <si>
    <t>CEDD7089</t>
  </si>
  <si>
    <t>CEDD7092</t>
  </si>
  <si>
    <t>CEDD7093</t>
  </si>
  <si>
    <t>Grand Total</t>
  </si>
  <si>
    <t>LOADED ORDERS</t>
  </si>
  <si>
    <t>CED18649</t>
  </si>
  <si>
    <t>TIANJIN NAVIGATOR INTERNATIONAL</t>
  </si>
  <si>
    <t>CED18654</t>
  </si>
  <si>
    <t>CED18656</t>
  </si>
  <si>
    <t>JINAN WELCOME INDUSTRIAL</t>
  </si>
  <si>
    <t>MUTTON</t>
  </si>
  <si>
    <t>CEDD7044</t>
  </si>
  <si>
    <t>CEDD7060</t>
  </si>
  <si>
    <t>CEDD7067</t>
  </si>
  <si>
    <t>MIDFIELD COMMODITIES</t>
  </si>
  <si>
    <t>CEDD7070</t>
  </si>
  <si>
    <t>SWIFT &amp; COMPANY</t>
  </si>
  <si>
    <t>CEDD7072</t>
  </si>
  <si>
    <t>CEDD7073</t>
  </si>
  <si>
    <t>CEDD7084</t>
  </si>
  <si>
    <t>CEDD7046</t>
  </si>
  <si>
    <t>CED18673</t>
  </si>
  <si>
    <t xml:space="preserve">TPL FOOD PROCESSING </t>
  </si>
  <si>
    <t>CED18674</t>
  </si>
  <si>
    <t>CEDD7068</t>
  </si>
  <si>
    <t>ACTIVE ORDERS  TO BE COMPLETED BY JANETH</t>
  </si>
  <si>
    <t>Data Input_Peter</t>
  </si>
  <si>
    <t>Contract No.</t>
  </si>
  <si>
    <t>EXPECTED Livestock Cost per kg (HSCW)</t>
  </si>
  <si>
    <t>Do Not Buy Price_Using % method instructed by the financier</t>
  </si>
  <si>
    <t>CEDD7094</t>
  </si>
  <si>
    <t>CEDD7095</t>
  </si>
  <si>
    <t>CEDD7098</t>
  </si>
  <si>
    <t>KARIM OVERSEAS</t>
  </si>
  <si>
    <t>CEDD7099</t>
  </si>
  <si>
    <t>CEDD7100</t>
  </si>
  <si>
    <t>ALLEGRO</t>
  </si>
  <si>
    <t>ORDERS LOADED</t>
  </si>
  <si>
    <t>Cashflow</t>
  </si>
  <si>
    <t>Weekly Working Capital</t>
  </si>
  <si>
    <t>Avg Sell Price</t>
  </si>
  <si>
    <t>Avg LV Price</t>
  </si>
  <si>
    <t>Skin Return</t>
  </si>
  <si>
    <t>Heads</t>
  </si>
  <si>
    <t>Livestock</t>
  </si>
  <si>
    <t>Direct Labour</t>
  </si>
  <si>
    <t>VOH</t>
  </si>
  <si>
    <t>Salaries</t>
  </si>
  <si>
    <t>Total</t>
  </si>
  <si>
    <t>Lamb</t>
  </si>
  <si>
    <t>Mutton</t>
  </si>
  <si>
    <t>Goat</t>
  </si>
  <si>
    <t>Veal</t>
  </si>
  <si>
    <t>Product</t>
  </si>
  <si>
    <t>Average Weight (kg)</t>
  </si>
  <si>
    <t>Number of heads for a 20 ft container</t>
  </si>
  <si>
    <t>Ovine Brains</t>
  </si>
  <si>
    <t>Ovine Hearts</t>
  </si>
  <si>
    <t>Ovine Kidneys (pair)</t>
  </si>
  <si>
    <t>Ovine Livers</t>
  </si>
  <si>
    <t>Ovine Lungs</t>
  </si>
  <si>
    <t>Ovine Tongue</t>
  </si>
  <si>
    <t>Ovine Sweetbreads</t>
  </si>
  <si>
    <t>Lamb Runners</t>
  </si>
  <si>
    <t>Assumptions</t>
  </si>
  <si>
    <t>Weeks to convert livestock to meat</t>
  </si>
  <si>
    <t>Weeks to convert meat to cash</t>
  </si>
  <si>
    <t>Weeks to convert skins to cash</t>
  </si>
  <si>
    <t xml:space="preserve">Weeks to convert offal to cash </t>
  </si>
  <si>
    <t>Number of working capital weeks required</t>
  </si>
  <si>
    <t>Working capital required</t>
  </si>
  <si>
    <t>Profitability</t>
  </si>
  <si>
    <t>Expected MOM PH</t>
  </si>
  <si>
    <t>Direct Labour PH</t>
  </si>
  <si>
    <t>VOH PH</t>
  </si>
  <si>
    <t>Gross Margin PH</t>
  </si>
  <si>
    <t>Gross Margin</t>
  </si>
  <si>
    <t>FOH Cost PW</t>
  </si>
  <si>
    <t>EBITDA PW</t>
  </si>
  <si>
    <t>Incresing revenue</t>
  </si>
  <si>
    <t>Additional Offal collection</t>
  </si>
  <si>
    <t>Offal Type</t>
  </si>
  <si>
    <t>NRV</t>
  </si>
  <si>
    <t>Brains</t>
  </si>
  <si>
    <t>Hocks</t>
  </si>
  <si>
    <t>Additional Revenue</t>
  </si>
  <si>
    <t>Cubing 200 goats for the domestic market</t>
  </si>
  <si>
    <t>Incremential revune net cost per kg</t>
  </si>
  <si>
    <t>Incremential revune net cost PW</t>
  </si>
  <si>
    <t>Cost reductions</t>
  </si>
  <si>
    <t>Reduction in Direct labour Cost</t>
  </si>
  <si>
    <t xml:space="preserve"> Reduction PH</t>
  </si>
  <si>
    <t>Expected cost reduction</t>
  </si>
  <si>
    <t>Reduction in FOH</t>
  </si>
  <si>
    <t>Target Reaction PM</t>
  </si>
  <si>
    <t>Total Expected Saving</t>
  </si>
  <si>
    <t>Weight of a load</t>
  </si>
  <si>
    <t>Wks for a load</t>
  </si>
  <si>
    <t>Revenue per head</t>
  </si>
  <si>
    <t>VEAL KILLED FROM 1ST JULY 2024 TO PRESENT</t>
  </si>
  <si>
    <t>Date</t>
  </si>
  <si>
    <t>No. of Heads Killed</t>
  </si>
  <si>
    <t>Week</t>
  </si>
  <si>
    <t>Month</t>
  </si>
  <si>
    <t>Sales Representative</t>
  </si>
  <si>
    <t>Peter</t>
  </si>
  <si>
    <t>Status</t>
  </si>
  <si>
    <t>(Multiple Items)</t>
  </si>
  <si>
    <t>Ranking</t>
  </si>
  <si>
    <t xml:space="preserve">profit Ranking </t>
  </si>
  <si>
    <t>Profit Band</t>
  </si>
  <si>
    <t>Estimated Margin at livestock level</t>
  </si>
  <si>
    <t>Do not buy price</t>
  </si>
  <si>
    <t>Post production analysis</t>
  </si>
  <si>
    <t>A</t>
  </si>
  <si>
    <t>C</t>
  </si>
  <si>
    <t>B</t>
  </si>
  <si>
    <t>$3.50 FOR VEAL</t>
  </si>
  <si>
    <t xml:space="preserve">$8.30 FOR GOATS </t>
  </si>
  <si>
    <t>$11.00 FOR LAMBS</t>
  </si>
  <si>
    <t>c</t>
  </si>
  <si>
    <t>$9.30 FOR MUTTON</t>
  </si>
  <si>
    <t>CEDD6957</t>
  </si>
  <si>
    <t>SURE GOOD FOODS</t>
  </si>
  <si>
    <t>Profit Ranking  (Peter)</t>
  </si>
  <si>
    <t>All orders to be ranked from 1 to n , 1 being the most profitable</t>
  </si>
  <si>
    <t>Profit Band (Peter)</t>
  </si>
  <si>
    <t>Only 3 bands A , B , C . A being  highly  protable B just about profitable C loss making  Please set the band metrics Please attached calculation</t>
  </si>
  <si>
    <t>Estimated Margin (Peter)</t>
  </si>
  <si>
    <t>This is sales achieved less livestock cost plus transport ie livestock at the plant exclude offals and skins (Calculation to be attached)</t>
  </si>
  <si>
    <t>Do NOT Buy price (Peter)</t>
  </si>
  <si>
    <t>Buyer cannot buy anything above this price. Buyer must attempt to achieve below ths do not buy price</t>
  </si>
  <si>
    <t>Post production  analysis</t>
  </si>
  <si>
    <t xml:space="preserve">This calculate the actual margin at actual livestock  price and actual transport cost  exclude offals and skins This will be compared with Estimated Margin . Calculation to bde attached </t>
  </si>
  <si>
    <t xml:space="preserve">Note </t>
  </si>
  <si>
    <t xml:space="preserve">All of this analysis exclude offals and skins  but include transport cost </t>
  </si>
  <si>
    <t>Offal</t>
  </si>
  <si>
    <t>Skins</t>
  </si>
  <si>
    <t>Required Margins</t>
  </si>
  <si>
    <t>6 Way</t>
  </si>
  <si>
    <t>Full Bone</t>
  </si>
  <si>
    <t>Provided by the financier</t>
  </si>
  <si>
    <t xml:space="preserve"> A being  highly  protable B just about profitable C loss making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</si>
</sst>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&quot;$&quot;#,##0.00"/>
    <numFmt numFmtId="179" formatCode="&quot;$&quot;#,##0;[Red]\-&quot;$&quot;#,##0"/>
    <numFmt numFmtId="180" formatCode="&quot;$&quot;#,##0.00;[Red]\-&quot;$&quot;#,##0.00"/>
    <numFmt numFmtId="181" formatCode="&quot;$&quot;#,##0"/>
    <numFmt numFmtId="182" formatCode="#,##0.0"/>
    <numFmt numFmtId="183" formatCode="_-* #,##0_-;\-* #,##0_-;_-* &quot;-&quot;_-;_-@_-"/>
  </numFmts>
  <fonts count="33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ptos"/>
      <charset val="134"/>
    </font>
    <font>
      <b/>
      <sz val="14"/>
      <color rgb="FF0070C0"/>
      <name val="Aptos"/>
      <charset val="134"/>
    </font>
    <font>
      <b/>
      <sz val="11"/>
      <color rgb="FF0070C0"/>
      <name val="Aptos"/>
      <charset val="134"/>
    </font>
    <font>
      <sz val="11"/>
      <color rgb="FF424242"/>
      <name val="Courier New"/>
      <charset val="134"/>
    </font>
    <font>
      <sz val="11"/>
      <color rgb="FF000000"/>
      <name val="Segoe UI"/>
      <charset val="134"/>
    </font>
    <font>
      <sz val="11"/>
      <color rgb="FF000000"/>
      <name val="Aptos Narrow"/>
      <charset val="134"/>
    </font>
    <font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theme="4" tint="0.399975585192419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1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25" applyNumberFormat="0" applyAlignment="0" applyProtection="0">
      <alignment vertical="center"/>
    </xf>
    <xf numFmtId="0" fontId="23" fillId="13" borderId="26" applyNumberFormat="0" applyAlignment="0" applyProtection="0">
      <alignment vertical="center"/>
    </xf>
    <xf numFmtId="0" fontId="24" fillId="13" borderId="25" applyNumberFormat="0" applyAlignment="0" applyProtection="0">
      <alignment vertical="center"/>
    </xf>
    <xf numFmtId="0" fontId="25" fillId="14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135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/>
    <xf numFmtId="0" fontId="1" fillId="0" borderId="0" xfId="0" applyFont="1"/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176" fontId="0" fillId="0" borderId="0" xfId="1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textRotation="90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wrapText="1"/>
    </xf>
    <xf numFmtId="0" fontId="0" fillId="0" borderId="0" xfId="0" applyAlignment="1">
      <alignment horizontal="left"/>
    </xf>
    <xf numFmtId="58" fontId="0" fillId="0" borderId="0" xfId="0" applyNumberFormat="1" applyAlignment="1">
      <alignment horizontal="left"/>
    </xf>
    <xf numFmtId="17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5" xfId="0" applyFill="1" applyBorder="1"/>
    <xf numFmtId="179" fontId="0" fillId="2" borderId="5" xfId="0" applyNumberFormat="1" applyFill="1" applyBorder="1"/>
    <xf numFmtId="180" fontId="0" fillId="2" borderId="5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58" fontId="4" fillId="0" borderId="0" xfId="0" applyNumberFormat="1" applyFont="1"/>
    <xf numFmtId="0" fontId="7" fillId="0" borderId="6" xfId="0" applyFont="1" applyBorder="1" applyAlignment="1">
      <alignment horizontal="left" vertical="center" indent="1"/>
    </xf>
    <xf numFmtId="58" fontId="4" fillId="4" borderId="0" xfId="0" applyNumberFormat="1" applyFont="1" applyFill="1"/>
    <xf numFmtId="0" fontId="4" fillId="4" borderId="0" xfId="0" applyFont="1" applyFill="1"/>
    <xf numFmtId="0" fontId="8" fillId="5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/>
    </xf>
    <xf numFmtId="178" fontId="0" fillId="0" borderId="5" xfId="0" applyNumberFormat="1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" fillId="7" borderId="0" xfId="0" applyFont="1" applyFill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178" fontId="0" fillId="7" borderId="0" xfId="0" applyNumberFormat="1" applyFill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/>
    <xf numFmtId="3" fontId="0" fillId="7" borderId="0" xfId="0" applyNumberFormat="1" applyFill="1" applyAlignment="1">
      <alignment horizontal="center"/>
    </xf>
    <xf numFmtId="181" fontId="0" fillId="7" borderId="0" xfId="0" applyNumberFormat="1" applyFill="1" applyAlignment="1">
      <alignment horizontal="center"/>
    </xf>
    <xf numFmtId="3" fontId="0" fillId="7" borderId="7" xfId="0" applyNumberFormat="1" applyFill="1" applyBorder="1" applyAlignment="1">
      <alignment horizontal="center"/>
    </xf>
    <xf numFmtId="181" fontId="0" fillId="7" borderId="7" xfId="0" applyNumberForma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8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vertical="center" wrapText="1"/>
    </xf>
    <xf numFmtId="3" fontId="0" fillId="7" borderId="5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13" xfId="0" applyFill="1" applyBorder="1"/>
    <xf numFmtId="0" fontId="0" fillId="7" borderId="12" xfId="0" applyFill="1" applyBorder="1" applyAlignment="1">
      <alignment horizontal="center"/>
    </xf>
    <xf numFmtId="181" fontId="0" fillId="7" borderId="14" xfId="0" applyNumberFormat="1" applyFill="1" applyBorder="1" applyAlignment="1">
      <alignment horizontal="center"/>
    </xf>
    <xf numFmtId="0" fontId="0" fillId="7" borderId="0" xfId="0" applyFill="1" applyAlignment="1">
      <alignment vertical="center"/>
    </xf>
    <xf numFmtId="0" fontId="0" fillId="7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178" fontId="0" fillId="7" borderId="13" xfId="0" applyNumberFormat="1" applyFill="1" applyBorder="1" applyAlignment="1">
      <alignment horizontal="center"/>
    </xf>
    <xf numFmtId="181" fontId="0" fillId="7" borderId="13" xfId="0" applyNumberFormat="1" applyFill="1" applyBorder="1" applyAlignment="1">
      <alignment horizontal="center"/>
    </xf>
    <xf numFmtId="0" fontId="0" fillId="7" borderId="16" xfId="0" applyFill="1" applyBorder="1"/>
    <xf numFmtId="178" fontId="0" fillId="7" borderId="16" xfId="0" applyNumberFormat="1" applyFill="1" applyBorder="1" applyAlignment="1">
      <alignment horizontal="center"/>
    </xf>
    <xf numFmtId="178" fontId="0" fillId="7" borderId="17" xfId="0" applyNumberFormat="1" applyFill="1" applyBorder="1" applyAlignment="1">
      <alignment horizontal="center"/>
    </xf>
    <xf numFmtId="178" fontId="3" fillId="7" borderId="7" xfId="0" applyNumberFormat="1" applyFont="1" applyFill="1" applyBorder="1" applyAlignment="1">
      <alignment horizontal="center"/>
    </xf>
    <xf numFmtId="181" fontId="3" fillId="7" borderId="7" xfId="0" applyNumberFormat="1" applyFont="1" applyFill="1" applyBorder="1" applyAlignment="1">
      <alignment horizontal="center"/>
    </xf>
    <xf numFmtId="9" fontId="0" fillId="7" borderId="0" xfId="0" applyNumberFormat="1" applyFill="1" applyAlignment="1">
      <alignment horizontal="center"/>
    </xf>
    <xf numFmtId="176" fontId="0" fillId="0" borderId="0" xfId="1" applyFont="1" applyAlignment="1">
      <alignment horizontal="center"/>
    </xf>
    <xf numFmtId="176" fontId="0" fillId="7" borderId="0" xfId="1" applyFont="1" applyFill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center" wrapText="1"/>
    </xf>
    <xf numFmtId="176" fontId="3" fillId="3" borderId="0" xfId="1" applyFont="1" applyFill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176" fontId="0" fillId="8" borderId="0" xfId="0" applyNumberFormat="1" applyFill="1"/>
    <xf numFmtId="2" fontId="0" fillId="8" borderId="0" xfId="0" applyNumberFormat="1" applyFill="1"/>
    <xf numFmtId="178" fontId="0" fillId="0" borderId="0" xfId="0" applyNumberFormat="1" applyAlignment="1">
      <alignment horizontal="center"/>
    </xf>
    <xf numFmtId="178" fontId="0" fillId="9" borderId="5" xfId="0" applyNumberFormat="1" applyFill="1" applyBorder="1" applyAlignment="1" applyProtection="1">
      <alignment horizontal="center"/>
      <protection locked="0"/>
    </xf>
    <xf numFmtId="182" fontId="0" fillId="9" borderId="5" xfId="0" applyNumberFormat="1" applyFill="1" applyBorder="1" applyAlignment="1" applyProtection="1">
      <alignment horizontal="center"/>
      <protection locked="0"/>
    </xf>
    <xf numFmtId="178" fontId="0" fillId="7" borderId="5" xfId="0" applyNumberFormat="1" applyFill="1" applyBorder="1" applyAlignment="1">
      <alignment horizontal="center"/>
    </xf>
    <xf numFmtId="183" fontId="0" fillId="7" borderId="2" xfId="0" applyNumberFormat="1" applyFill="1" applyBorder="1" applyAlignment="1">
      <alignment horizontal="center"/>
    </xf>
    <xf numFmtId="181" fontId="0" fillId="7" borderId="2" xfId="0" applyNumberFormat="1" applyFill="1" applyBorder="1" applyAlignment="1">
      <alignment horizontal="center"/>
    </xf>
    <xf numFmtId="0" fontId="3" fillId="3" borderId="19" xfId="0" applyFont="1" applyFill="1" applyBorder="1" applyAlignment="1">
      <alignment horizontal="left"/>
    </xf>
    <xf numFmtId="0" fontId="3" fillId="3" borderId="19" xfId="0" applyFont="1" applyFill="1" applyBorder="1"/>
    <xf numFmtId="176" fontId="3" fillId="3" borderId="19" xfId="0" applyNumberFormat="1" applyFont="1" applyFill="1" applyBorder="1"/>
    <xf numFmtId="2" fontId="3" fillId="3" borderId="19" xfId="0" applyNumberFormat="1" applyFont="1" applyFill="1" applyBorder="1"/>
    <xf numFmtId="0" fontId="0" fillId="0" borderId="0" xfId="0" applyAlignment="1" applyProtection="1">
      <alignment horizontal="center"/>
      <protection locked="0"/>
    </xf>
    <xf numFmtId="0" fontId="3" fillId="2" borderId="1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58" fontId="3" fillId="0" borderId="0" xfId="0" applyNumberFormat="1" applyFont="1" applyAlignment="1">
      <alignment horizontal="left"/>
    </xf>
    <xf numFmtId="178" fontId="0" fillId="10" borderId="5" xfId="0" applyNumberFormat="1" applyFill="1" applyBorder="1" applyAlignment="1" applyProtection="1">
      <alignment horizontal="center"/>
      <protection locked="0"/>
    </xf>
    <xf numFmtId="182" fontId="0" fillId="10" borderId="5" xfId="0" applyNumberFormat="1" applyFill="1" applyBorder="1" applyAlignment="1" applyProtection="1">
      <alignment horizontal="center"/>
      <protection locked="0"/>
    </xf>
    <xf numFmtId="0" fontId="0" fillId="7" borderId="5" xfId="0" applyFill="1" applyBorder="1"/>
    <xf numFmtId="178" fontId="2" fillId="7" borderId="20" xfId="0" applyNumberFormat="1" applyFont="1" applyFill="1" applyBorder="1" applyAlignment="1">
      <alignment horizontal="center"/>
    </xf>
    <xf numFmtId="3" fontId="0" fillId="7" borderId="0" xfId="0" applyNumberFormat="1" applyFill="1"/>
    <xf numFmtId="178" fontId="0" fillId="10" borderId="21" xfId="0" applyNumberFormat="1" applyFill="1" applyBorder="1" applyAlignment="1" applyProtection="1">
      <alignment horizontal="center"/>
      <protection locked="0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0" borderId="14" xfId="0" applyFill="1" applyBorder="1"/>
    <xf numFmtId="0" fontId="2" fillId="7" borderId="5" xfId="0" applyFont="1" applyFill="1" applyBorder="1"/>
    <xf numFmtId="0" fontId="12" fillId="7" borderId="5" xfId="0" applyFont="1" applyFill="1" applyBorder="1"/>
    <xf numFmtId="182" fontId="0" fillId="10" borderId="21" xfId="0" applyNumberFormat="1" applyFill="1" applyBorder="1" applyAlignment="1" applyProtection="1">
      <alignment horizontal="center"/>
      <protection locked="0"/>
    </xf>
    <xf numFmtId="0" fontId="0" fillId="7" borderId="21" xfId="0" applyFill="1" applyBorder="1"/>
    <xf numFmtId="178" fontId="0" fillId="0" borderId="0" xfId="0" applyNumberFormat="1" applyAlignment="1" applyProtection="1">
      <alignment horizontal="center"/>
      <protection locked="0"/>
    </xf>
    <xf numFmtId="182" fontId="0" fillId="0" borderId="0" xfId="0" applyNumberFormat="1" applyAlignment="1" applyProtection="1">
      <alignment horizontal="center"/>
      <protection locked="0"/>
    </xf>
    <xf numFmtId="178" fontId="2" fillId="0" borderId="0" xfId="0" applyNumberFormat="1" applyFont="1" applyAlignment="1">
      <alignment horizontal="center"/>
    </xf>
    <xf numFmtId="183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3" fillId="3" borderId="0" xfId="0" applyFont="1" applyFill="1" applyAlignment="1">
      <alignment horizontal="left"/>
    </xf>
    <xf numFmtId="176" fontId="3" fillId="3" borderId="0" xfId="0" applyNumberFormat="1" applyFont="1" applyFill="1"/>
    <xf numFmtId="2" fontId="3" fillId="3" borderId="0" xfId="0" applyNumberFormat="1" applyFont="1" applyFill="1"/>
    <xf numFmtId="0" fontId="3" fillId="0" borderId="4" xfId="0" applyFont="1" applyBorder="1"/>
    <xf numFmtId="0" fontId="3" fillId="0" borderId="0" xfId="0" applyFont="1"/>
    <xf numFmtId="176" fontId="0" fillId="0" borderId="0" xfId="0" applyNumberFormat="1" applyProtection="1">
      <protection locked="0"/>
    </xf>
    <xf numFmtId="178" fontId="0" fillId="0" borderId="0" xfId="0" applyNumberFormat="1" applyProtection="1">
      <protection locked="0"/>
    </xf>
    <xf numFmtId="0" fontId="3" fillId="8" borderId="2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25400</xdr:colOff>
      <xdr:row>0</xdr:row>
      <xdr:rowOff>0</xdr:rowOff>
    </xdr:from>
    <xdr:to>
      <xdr:col>21</xdr:col>
      <xdr:colOff>857250</xdr:colOff>
      <xdr:row>3</xdr:row>
      <xdr:rowOff>25364</xdr:rowOff>
    </xdr:to>
    <xdr:pic>
      <xdr:nvPicPr>
        <xdr:cNvPr id="2" name="Picture 1772887391" descr="Golden Valley Exports"/>
        <xdr:cNvPicPr>
          <a:picLocks noChangeAspect="1" noChangeArrowheads="1"/>
        </xdr:cNvPicPr>
      </xdr:nvPicPr>
      <xdr:blipFill>
        <a:blip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77330" y="0"/>
          <a:ext cx="83185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25400</xdr:colOff>
      <xdr:row>0</xdr:row>
      <xdr:rowOff>0</xdr:rowOff>
    </xdr:from>
    <xdr:to>
      <xdr:col>20</xdr:col>
      <xdr:colOff>857250</xdr:colOff>
      <xdr:row>3</xdr:row>
      <xdr:rowOff>25364</xdr:rowOff>
    </xdr:to>
    <xdr:pic>
      <xdr:nvPicPr>
        <xdr:cNvPr id="2" name="Picture 1772887391" descr="Golden Valley Exports"/>
        <xdr:cNvPicPr>
          <a:picLocks noChangeAspect="1" noChangeArrowheads="1"/>
        </xdr:cNvPicPr>
      </xdr:nvPicPr>
      <xdr:blipFill>
        <a:blip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5430" y="0"/>
          <a:ext cx="83185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PORT\CONTRACTS\CHECKING\Cedar Meats Purchase Orders 2025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06.5784302083" refreshedBy="Janeth Montano" recordCount="202">
  <cacheSource type="worksheet">
    <worksheetSource ref="A1:Z226" sheet="Detail Data" r:id="rId2"/>
  </cacheSource>
  <cacheFields count="24">
    <cacheField name="Sales Representative" numFmtId="0">
      <sharedItems containsBlank="1" count="3">
        <s v="Peter"/>
        <s v="C Pearson"/>
        <m/>
      </sharedItems>
    </cacheField>
    <cacheField name="Cedar's Contract" numFmtId="0">
      <sharedItems containsBlank="1" count="121">
        <s v="CED18297"/>
        <s v="CED18299"/>
        <s v="CED18300"/>
        <s v="CED18305"/>
        <s v="CED18354"/>
        <s v="CED18355"/>
        <s v="CED18377"/>
        <s v="CED18380"/>
        <s v="CED18559"/>
        <s v="CED18656"/>
        <s v="CED18609"/>
        <s v="CED18610"/>
        <s v="CED18649"/>
        <s v="CED18650"/>
        <s v="CED18651"/>
        <s v="CED18653"/>
        <s v="CED18654"/>
        <s v="CED18655"/>
        <s v="CED18658"/>
        <s v="CED18659"/>
        <s v="CED18660"/>
        <s v="CED18662"/>
        <s v="CED18663"/>
        <s v="CED18664"/>
        <s v="CED18669"/>
        <s v="CED18670"/>
        <s v="CEDD6486"/>
        <s v="CEDD6487"/>
        <s v="CEDD6488"/>
        <s v="CEDD6849"/>
        <s v="CEDD6850"/>
        <s v="CEDD6924"/>
        <s v="CEDD6957"/>
        <s v="CEDD7004"/>
        <s v="CEDD7044"/>
        <s v="CEDD7045"/>
        <s v="CEDD7046"/>
        <s v="CEDD7047"/>
        <s v="CEDD7048"/>
        <s v="CEDD7049"/>
        <s v="CEDD7050"/>
        <s v="CEDD7057"/>
        <s v="CEDD7060"/>
        <s v="CEDD7062"/>
        <s v="CEDD7063"/>
        <s v="CEDD7065"/>
        <s v="CEDD7067"/>
        <s v="CEDD7068"/>
        <s v="CEDD7069"/>
        <s v="CEDD7070"/>
        <s v="CEDD7072"/>
        <s v="CEDD7073"/>
        <s v="CEDD7076"/>
        <s v="CED17539"/>
        <s v="CED17540"/>
        <s v="CED17541"/>
        <s v="CED17612"/>
        <s v="CED17613"/>
        <s v="CED17614"/>
        <s v="CED17642"/>
        <s v="CED17643"/>
        <s v="CED18138"/>
        <s v="CED18226"/>
        <s v="CED18227"/>
        <s v="CED18228"/>
        <s v="CED18229"/>
        <s v="CED18234"/>
        <s v="CED18235"/>
        <s v="CED18236"/>
        <s v="CED18237"/>
        <s v="CED18238"/>
        <s v="CED18239"/>
        <s v="CED18364"/>
        <s v="CED18518"/>
        <s v="CED18552"/>
        <s v="CED18553"/>
        <s v="CED18564"/>
        <s v="CED18565"/>
        <s v="CED18567"/>
        <s v="CED18568"/>
        <s v="CED24-1450"/>
        <s v="CEDD5975"/>
        <s v="CEDD6259"/>
        <s v="CEDD6260"/>
        <s v="CEDD6261"/>
        <s v="CEDD6294"/>
        <s v="CEDD6295"/>
        <s v="CEDD6296"/>
        <s v="CEDD6297"/>
        <s v="CEDD6298"/>
        <s v="CEDD6299"/>
        <s v="CEDD6300"/>
        <s v="CEDD6301"/>
        <s v="CEDD6302"/>
        <s v="CEDD6303"/>
        <s v="CEDD6304"/>
        <s v="CEDD6305"/>
        <s v="CEDD6306"/>
        <s v="CEDD6307"/>
        <s v="CEDD6308"/>
        <s v="CEDD6309"/>
        <s v="CEDD6310"/>
        <s v="CEDD6311"/>
        <s v="CEDD6800"/>
        <s v="CEDD6814"/>
        <s v="CEDD6940"/>
        <s v="CEDD6976"/>
        <s v="CEDD6977"/>
        <s v="CEDD6978"/>
        <s v="CEDD6979"/>
        <s v="CEDD7011"/>
        <s v="CEDD7064"/>
        <m/>
        <s v="CEDD7056" u="1"/>
        <s v="CEDD7061" u="1"/>
        <s v="CEDD7007" u="1"/>
        <s v="CED18661" u="1"/>
        <s v="CEDD7052" u="1"/>
        <s v="CEDD7059" u="1"/>
        <s v="CED18563" u="1"/>
        <s v="CEDD7055" u="1"/>
      </sharedItems>
    </cacheField>
    <cacheField name="Formula" numFmtId="0"/>
    <cacheField name="Status" numFmtId="0">
      <sharedItems containsBlank="1" count="4">
        <s v="Inactive"/>
        <s v="Loaded"/>
        <s v="Active"/>
        <m/>
      </sharedItems>
    </cacheField>
    <cacheField name="Loadout Date" numFmtId="0">
      <sharedItems containsString="0" containsBlank="1" containsNonDate="0" containsDate="1" minDate="2026-06-29T00:00:00" maxDate="2026-07-03T00:00:00" count="4">
        <m/>
        <d v="2026-06-29T00:00:00"/>
        <d v="2026-07-02T00:00:00"/>
        <d v="2026-07-03T00:00:00"/>
      </sharedItems>
    </cacheField>
    <cacheField name="Customer Order" numFmtId="0"/>
    <cacheField name="Product Code" numFmtId="0"/>
    <cacheField name="Type" numFmtId="0">
      <sharedItems containsBlank="1" count="7">
        <s v="GOAT"/>
        <s v="LAMB"/>
        <s v="SHEEP"/>
        <s v="MUTTON"/>
        <s v="VEAL"/>
        <s v="OFFAL"/>
        <m/>
      </sharedItems>
    </cacheField>
    <cacheField name="Product Description" numFmtId="0"/>
    <cacheField name="Customer Name" numFmtId="0">
      <sharedItems containsBlank="1" count="37">
        <s v="CHONGQING AGRICULTURAL PRODUCTS"/>
        <s v="QINGDAO AIGREEN INT"/>
        <s v="AIMEX FOODS "/>
        <s v="CAPTAIN FOODS LTD"/>
        <s v="QUIRCH FOODS"/>
        <s v="RONALD A CHISHOLM"/>
        <s v="JINAN WELCOME INDUSTRIAL"/>
        <s v="YUEYANG XINGYUAN"/>
        <s v="TIANJIN NAVIGATOR INTERNATIONAL"/>
        <s v="SHANGHAI NEW SOURCE"/>
        <s v="DALIAN MAGIC INTERNATIONAL"/>
        <s v="CHONGQING GOUZHAN INDUSTRIAL"/>
        <s v="SHENZHEN YUESHI SUPPLY"/>
        <s v="STELLA FOODS"/>
        <s v="SURE GOOD FOODS"/>
        <s v="AGRICOMM"/>
        <s v="MIDFIELD COMMODITIES"/>
        <s v="GLOBAL MEAT COMMODITIES"/>
        <s v="SWIFT &amp; COMPANY"/>
        <s v="Jinkang Zoucheng City Livestock co.,ltd "/>
        <s v="FAKHRO CASING SARL"/>
        <s v="Landguth"/>
        <s v="TIANJIN Fulai Foodstuffs Co."/>
        <s v="BUITELAAR NL "/>
        <s v="YUCHENG YUDE"/>
        <s v="NORTH CENTRAL COMPANIES"/>
        <s v="DIBAQ"/>
        <s v="M&amp;M COMPANY FOR IMPORT"/>
        <s v="SAMEX"/>
        <s v="ALLEGRO"/>
        <s v="FAYMAN INTERNATIONAL"/>
        <s v="AUSFINE FOODS "/>
        <s v="LANEXCO AUSTRALIA"/>
        <s v="WHTESTRIPE"/>
        <m/>
        <s v="WHITESTRIPE" u="1"/>
        <s v="Bounty Foods" u="1"/>
      </sharedItems>
    </cacheField>
    <cacheField name="Price" numFmtId="176"/>
    <cacheField name="Price AUD" numFmtId="176"/>
    <cacheField name="Currency" numFmtId="0">
      <sharedItems containsBlank="1" count="6">
        <s v="USD"/>
        <s v="CAD"/>
        <s v="AUD"/>
        <s v="Euro"/>
        <s v="POUND"/>
        <m/>
      </sharedItems>
    </cacheField>
    <cacheField name="Amount Local Currency" numFmtId="176"/>
    <cacheField name="Amount AUD" numFmtId="176"/>
    <cacheField name="Total QTY" numFmtId="176"/>
    <cacheField name="Weight Type" numFmtId="176"/>
    <cacheField name="Q Produced" numFmtId="176"/>
    <cacheField name="Short" numFmtId="176"/>
    <cacheField name="Comment" numFmtId="176"/>
    <cacheField name="Type2" numFmtId="176"/>
    <cacheField name="Deposit  USD" numFmtId="176"/>
    <cacheField name="Deposit AUD" numFmtId="176"/>
    <cacheField name="Payment Dat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1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2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3"/>
    <e v="#N/A"/>
    <x v="0"/>
    <x v="0"/>
    <m/>
    <s v="GC3200"/>
    <x v="0"/>
    <s v="FROZEN BONE IN GOAT CARCASE PIECES 6 WAY CUT 12-16KG"/>
    <x v="1"/>
    <n v="3.85"/>
    <n v="5.579710144927537"/>
    <x v="0"/>
    <n v="96250"/>
    <n v="137500"/>
    <n v="25000"/>
    <s v="KG"/>
    <n v="0"/>
    <n v="25000"/>
    <m/>
    <s v="GOAT"/>
    <n v="0"/>
    <m/>
    <m/>
  </r>
  <r>
    <x v="0"/>
    <x v="4"/>
    <e v="#N/A"/>
    <x v="0"/>
    <x v="0"/>
    <m/>
    <s v="G3226"/>
    <x v="0"/>
    <s v="BONE IN GOAT CARCASE PIECES 6PC IW 365 f"/>
    <x v="2"/>
    <n v="6.15"/>
    <n v="6.7582417582417582"/>
    <x v="1"/>
    <n v="147600"/>
    <n v="162197.8021978022"/>
    <n v="24000"/>
    <s v="KG"/>
    <n v="0"/>
    <n v="24000"/>
    <m/>
    <s v="GOAT"/>
    <n v="0"/>
    <m/>
    <m/>
  </r>
  <r>
    <x v="0"/>
    <x v="5"/>
    <e v="#N/A"/>
    <x v="0"/>
    <x v="0"/>
    <m/>
    <s v="G3226"/>
    <x v="0"/>
    <s v="BONE IN GOAT CARCASE PIECES 6PC IW 365 f"/>
    <x v="2"/>
    <n v="6.15"/>
    <n v="6.7582417582417582"/>
    <x v="1"/>
    <n v="76875"/>
    <n v="84478.021978021978"/>
    <n v="12500"/>
    <s v="KG"/>
    <n v="0"/>
    <n v="12500"/>
    <m/>
    <s v="GOAT"/>
    <n v="0"/>
    <m/>
    <m/>
  </r>
  <r>
    <x v="0"/>
    <x v="5"/>
    <e v="#N/A"/>
    <x v="0"/>
    <x v="0"/>
    <m/>
    <s v="L1026"/>
    <x v="1"/>
    <s v="BONE IN  LAMB LEG  IW 730 usa f"/>
    <x v="2"/>
    <n v="9.0500000000000007"/>
    <n v="9.9450549450549453"/>
    <x v="1"/>
    <n v="113125.00000000001"/>
    <n v="124313.18681318683"/>
    <n v="12500"/>
    <s v="KG"/>
    <n v="0"/>
    <n v="12500"/>
    <m/>
    <s v="LAMB"/>
    <n v="0"/>
    <m/>
    <m/>
  </r>
  <r>
    <x v="0"/>
    <x v="6"/>
    <e v="#N/A"/>
    <x v="0"/>
    <x v="0"/>
    <m/>
    <s v="G3222"/>
    <x v="0"/>
    <s v="2 BONE IN GOAT FULL CARCASE IW U-12 12PC 365 f"/>
    <x v="3"/>
    <n v="6.1"/>
    <n v="6.7032967032967026"/>
    <x v="1"/>
    <n v="21350"/>
    <n v="23461.538461538461"/>
    <n v="3500"/>
    <s v="KG"/>
    <n v="0"/>
    <n v="3500"/>
    <m/>
    <s v="GOAT"/>
    <n v="0"/>
    <m/>
    <m/>
  </r>
  <r>
    <x v="0"/>
    <x v="6"/>
    <e v="#N/A"/>
    <x v="0"/>
    <x v="0"/>
    <m/>
    <s v="G3226"/>
    <x v="0"/>
    <s v="BONE IN GOAT CARCASE PIECES 6PC IW 365 f"/>
    <x v="3"/>
    <n v="6.1"/>
    <n v="6.7032967032967026"/>
    <x v="1"/>
    <n v="21350"/>
    <n v="23461.538461538461"/>
    <n v="3500"/>
    <s v="KG"/>
    <n v="0"/>
    <n v="3500"/>
    <m/>
    <s v="GOAT"/>
    <n v="0"/>
    <m/>
    <m/>
  </r>
  <r>
    <x v="0"/>
    <x v="6"/>
    <e v="#N/A"/>
    <x v="0"/>
    <x v="0"/>
    <m/>
    <s v="L1058"/>
    <x v="1"/>
    <s v="BONELESS LAMB LEG CHUMP ON SHANK OFF IW/VAC f"/>
    <x v="3"/>
    <n v="13.5"/>
    <n v="14.835164835164834"/>
    <x v="1"/>
    <n v="101250"/>
    <n v="111263.73626373625"/>
    <n v="7500"/>
    <s v="KG"/>
    <n v="0"/>
    <n v="7500"/>
    <m/>
    <s v="LAMB"/>
    <n v="0"/>
    <m/>
    <m/>
  </r>
  <r>
    <x v="0"/>
    <x v="7"/>
    <e v="#N/A"/>
    <x v="0"/>
    <x v="0"/>
    <m/>
    <s v="L1341"/>
    <x v="1"/>
    <s v="BONE IN LAMB HINDSHANK"/>
    <x v="4"/>
    <n v="3.05"/>
    <n v="4.4202898550724639"/>
    <x v="0"/>
    <n v="73200"/>
    <n v="104571.42857142858"/>
    <n v="24000"/>
    <s v="KG"/>
    <n v="0"/>
    <n v="24000"/>
    <m/>
    <s v="LAMB"/>
    <n v="0"/>
    <m/>
    <m/>
  </r>
  <r>
    <x v="0"/>
    <x v="8"/>
    <e v="#N/A"/>
    <x v="0"/>
    <x v="0"/>
    <m/>
    <s v="M2221N"/>
    <x v="2"/>
    <s v="BONE IN MUTTON PIECES HALF CARCASE 730 f Arabic"/>
    <x v="5"/>
    <n v="5.6"/>
    <n v="8.1159420289855078"/>
    <x v="0"/>
    <n v="123199.99999999999"/>
    <n v="176000"/>
    <n v="22000"/>
    <s v="KG"/>
    <m/>
    <n v="22000"/>
    <m/>
    <s v="SHEEP"/>
    <n v="0"/>
    <m/>
    <m/>
  </r>
  <r>
    <x v="0"/>
    <x v="9"/>
    <e v="#N/A"/>
    <x v="1"/>
    <x v="1"/>
    <m/>
    <s v="03169"/>
    <x v="3"/>
    <s v="FROZEN BONE IN MUTTON CARCASE"/>
    <x v="6"/>
    <n v="6.7"/>
    <n v="9.7101449275362324"/>
    <x v="0"/>
    <n v="103871.44"/>
    <n v="148387.77142857143"/>
    <n v="15503.2"/>
    <s v="KG"/>
    <m/>
    <n v="15503.2"/>
    <m/>
    <s v="MUTTON"/>
    <n v="0"/>
    <m/>
    <m/>
  </r>
  <r>
    <x v="0"/>
    <x v="10"/>
    <e v="#N/A"/>
    <x v="0"/>
    <x v="0"/>
    <m/>
    <s v="GC3200"/>
    <x v="0"/>
    <s v="FROZEN BONE IN GOAT CARCASE PIECES 6 WAY CUT 12-16KG"/>
    <x v="7"/>
    <n v="5.7"/>
    <n v="8.2608695652173925"/>
    <x v="0"/>
    <n v="142500"/>
    <n v="203571.42857142858"/>
    <n v="25000"/>
    <s v="KG"/>
    <n v="0"/>
    <n v="25000"/>
    <m/>
    <s v="GOAT"/>
    <n v="71250"/>
    <n v="100718.69"/>
    <m/>
  </r>
  <r>
    <x v="0"/>
    <x v="11"/>
    <e v="#N/A"/>
    <x v="0"/>
    <x v="0"/>
    <m/>
    <s v="GC3200"/>
    <x v="0"/>
    <s v="FROZEN BONE IN GOAT CARCASE PIECES 6 WAY CUT 12-16KG"/>
    <x v="7"/>
    <n v="5.7"/>
    <n v="8.2608695652173925"/>
    <x v="0"/>
    <n v="142500"/>
    <n v="203571.42857142858"/>
    <n v="25000"/>
    <s v="KG"/>
    <n v="0"/>
    <n v="25000"/>
    <m/>
    <s v="GOAT"/>
    <n v="71250"/>
    <n v="100718.69"/>
    <m/>
  </r>
  <r>
    <x v="0"/>
    <x v="12"/>
    <e v="#N/A"/>
    <x v="1"/>
    <x v="2"/>
    <m/>
    <s v="MC2217C"/>
    <x v="2"/>
    <s v="FROZEN BONE IN MUTTON CARCASE PIECES 3 WAY CUT"/>
    <x v="8"/>
    <n v="6.7"/>
    <n v="9.7101449275362324"/>
    <x v="0"/>
    <n v="154100"/>
    <n v="220142.85714285716"/>
    <n v="23000"/>
    <s v="KG"/>
    <n v="0"/>
    <n v="23000"/>
    <m/>
    <s v="SHEEP"/>
    <n v="77050"/>
    <n v="100718.69"/>
    <m/>
  </r>
  <r>
    <x v="0"/>
    <x v="13"/>
    <e v="#N/A"/>
    <x v="2"/>
    <x v="0"/>
    <m/>
    <s v="MC2207"/>
    <x v="2"/>
    <s v="FROZEN BONE IN MUTTON CARCASE PIECES 6 WAY CUT"/>
    <x v="9"/>
    <n v="7"/>
    <n v="10.144927536231885"/>
    <x v="0"/>
    <n v="175000"/>
    <n v="250000.00000000003"/>
    <n v="25000"/>
    <s v="KG"/>
    <n v="0"/>
    <n v="25000"/>
    <m/>
    <s v="SHEEP"/>
    <n v="87500"/>
    <n v="100718.69"/>
    <m/>
  </r>
  <r>
    <x v="0"/>
    <x v="14"/>
    <e v="#N/A"/>
    <x v="2"/>
    <x v="0"/>
    <m/>
    <s v="MC2207"/>
    <x v="2"/>
    <s v="FROZEN BONE IN MUTTON CARCASE PIECES 6 WAY CUT"/>
    <x v="9"/>
    <n v="7"/>
    <n v="10.144927536231885"/>
    <x v="0"/>
    <n v="175000"/>
    <n v="250000.00000000003"/>
    <n v="25000"/>
    <s v="KG"/>
    <n v="0"/>
    <n v="25000"/>
    <m/>
    <s v="SHEEP"/>
    <n v="87500"/>
    <n v="100718.69"/>
    <m/>
  </r>
  <r>
    <x v="0"/>
    <x v="15"/>
    <e v="#N/A"/>
    <x v="2"/>
    <x v="0"/>
    <m/>
    <s v="MC2217C"/>
    <x v="2"/>
    <s v="FROZEN BONE IN MUTTON CARCASE PIECES 3 WAY CUT"/>
    <x v="10"/>
    <n v="6.7"/>
    <n v="9.7101449275362324"/>
    <x v="0"/>
    <n v="147400"/>
    <n v="210571.42857142858"/>
    <n v="22000"/>
    <s v="KG"/>
    <n v="0"/>
    <n v="22000"/>
    <m/>
    <s v="SHEEP"/>
    <n v="73700"/>
    <n v="100718.69"/>
    <m/>
  </r>
  <r>
    <x v="0"/>
    <x v="16"/>
    <e v="#N/A"/>
    <x v="2"/>
    <x v="0"/>
    <m/>
    <s v="MC2207"/>
    <x v="2"/>
    <s v="FROZEN BONE IN MUTTON CARCASE PIECES 6 WAY CUT"/>
    <x v="10"/>
    <n v="6.95"/>
    <n v="10.072463768115943"/>
    <x v="0"/>
    <n v="173750"/>
    <n v="248214.28571428574"/>
    <n v="25000"/>
    <s v="KG"/>
    <n v="0"/>
    <n v="25000"/>
    <m/>
    <s v="SHEEP"/>
    <n v="86875"/>
    <n v="100718.69"/>
    <m/>
  </r>
  <r>
    <x v="0"/>
    <x v="17"/>
    <e v="#N/A"/>
    <x v="2"/>
    <x v="0"/>
    <m/>
    <s v="MC2207"/>
    <x v="2"/>
    <s v="FROZEN BONE IN MUTTON CARCASE PIECES 6 WAY CUT"/>
    <x v="10"/>
    <n v="6.95"/>
    <n v="10.072463768115943"/>
    <x v="0"/>
    <n v="173750"/>
    <n v="248214.28571428574"/>
    <n v="25000"/>
    <s v="KG"/>
    <n v="0"/>
    <n v="25000"/>
    <m/>
    <s v="SHEEP"/>
    <n v="86875"/>
    <n v="100718.69"/>
    <m/>
  </r>
  <r>
    <x v="0"/>
    <x v="18"/>
    <e v="#N/A"/>
    <x v="2"/>
    <x v="0"/>
    <m/>
    <s v="GC3200"/>
    <x v="0"/>
    <s v="FROZEN BONE IN GOAT CARCASE PIECES 6 WAY CUT 12-16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8"/>
    <e v="#N/A"/>
    <x v="2"/>
    <x v="0"/>
    <m/>
    <s v="GC3201"/>
    <x v="0"/>
    <s v="FROZEN BONE IN GOAT CARCASE PIECES 6 WAY CUT U12 KG 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8"/>
    <e v="#N/A"/>
    <x v="2"/>
    <x v="0"/>
    <m/>
    <s v="GC3203"/>
    <x v="0"/>
    <s v="FROZEN BONE IN GOAT CARCASE 6 WAY CUT 16-20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0"/>
    <x v="0"/>
    <s v="FROZEN BONE IN GOAT CARCASE PIECES 6 WAY CUT 12-16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1"/>
    <x v="0"/>
    <s v="FROZEN BONE IN GOAT CARCASE PIECES 6 WAY CUT U12 KG 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3"/>
    <x v="0"/>
    <s v="FROZEN BONE IN GOAT CARCASE 6 WAY CUT 16-20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0"/>
    <x v="0"/>
    <s v="FROZEN BONE IN GOAT CARCASE PIECES 6 WAY CUT 12-16KG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1"/>
    <x v="0"/>
    <s v="FROZEN BONE IN GOAT CARCASE PIECES 6 WAY CUT U12 KG 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3"/>
    <x v="0"/>
    <s v="FROZEN BONE IN GOAT CARCASE 6 WAY CUT 16-20KG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1"/>
    <e v="#N/A"/>
    <x v="2"/>
    <x v="0"/>
    <m/>
    <s v="03153"/>
    <x v="0"/>
    <s v="FROZEN BONE IN GOAT CARCASE"/>
    <x v="11"/>
    <n v="7.1"/>
    <n v="10.289855072463768"/>
    <x v="0"/>
    <n v="120700"/>
    <n v="172428.57142857145"/>
    <n v="17000"/>
    <s v="KG"/>
    <n v="0"/>
    <n v="17000"/>
    <m/>
    <s v="GOAT"/>
    <n v="60350"/>
    <n v="100718.69"/>
    <m/>
  </r>
  <r>
    <x v="0"/>
    <x v="22"/>
    <e v="#N/A"/>
    <x v="2"/>
    <x v="0"/>
    <m/>
    <s v="MC2217C"/>
    <x v="2"/>
    <s v="FROZEN BONE IN MUTTON CARCASE PIECES 3 WAY CUT"/>
    <x v="12"/>
    <n v="6.8"/>
    <n v="9.8550724637681171"/>
    <x v="0"/>
    <n v="170000"/>
    <n v="242857.14285714287"/>
    <n v="25000"/>
    <s v="KG"/>
    <n v="0"/>
    <n v="25000"/>
    <m/>
    <s v="SHEEP"/>
    <n v="85000"/>
    <n v="100718.69"/>
    <m/>
  </r>
  <r>
    <x v="0"/>
    <x v="23"/>
    <e v="#N/A"/>
    <x v="2"/>
    <x v="0"/>
    <m/>
    <s v="MC2217C"/>
    <x v="2"/>
    <s v="FROZEN BONE IN MUTTON CARCASE PIECES 3 WAY CUT"/>
    <x v="12"/>
    <n v="6.8"/>
    <n v="9.8550724637681171"/>
    <x v="0"/>
    <n v="170000"/>
    <n v="242857.14285714287"/>
    <n v="25000"/>
    <s v="KG"/>
    <n v="0"/>
    <n v="25000"/>
    <m/>
    <s v="SHEEP"/>
    <n v="85000"/>
    <n v="100718.69"/>
    <m/>
  </r>
  <r>
    <x v="0"/>
    <x v="24"/>
    <e v="#N/A"/>
    <x v="2"/>
    <x v="0"/>
    <m/>
    <s v="03153"/>
    <x v="0"/>
    <s v="FROZEN BONE IN GOAT CARCASE"/>
    <x v="11"/>
    <n v="6.95"/>
    <n v="10.072463768115943"/>
    <x v="0"/>
    <n v="111200"/>
    <n v="158857.14285714287"/>
    <n v="16000"/>
    <s v="KG"/>
    <n v="0"/>
    <n v="16000"/>
    <m/>
    <s v="GOAT"/>
    <n v="55600"/>
    <n v="100718.69"/>
    <m/>
  </r>
  <r>
    <x v="0"/>
    <x v="25"/>
    <e v="#N/A"/>
    <x v="2"/>
    <x v="0"/>
    <m/>
    <s v="03153"/>
    <x v="0"/>
    <s v="FROZEN BONE IN GOAT CARCASE"/>
    <x v="11"/>
    <n v="7"/>
    <n v="10.144927536231885"/>
    <x v="0"/>
    <n v="112000"/>
    <n v="160000"/>
    <n v="16000"/>
    <s v="KG"/>
    <n v="0"/>
    <n v="16000"/>
    <m/>
    <s v="GOAT"/>
    <n v="56000"/>
    <n v="100718.69"/>
    <m/>
  </r>
  <r>
    <x v="0"/>
    <x v="26"/>
    <e v="#N/A"/>
    <x v="0"/>
    <x v="0"/>
    <s v="PC79747"/>
    <s v="GC3207"/>
    <x v="0"/>
    <s v="FROZEN BONE IN GOAT CARCASE PIECES 6 WAY CUT 24-32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7"/>
    <e v="#N/A"/>
    <x v="0"/>
    <x v="0"/>
    <s v="PC79748"/>
    <s v="GC3208"/>
    <x v="0"/>
    <s v="FROZEN BONE IN GOAT CARCASE PIECES 6 WAY CUT 16-24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8"/>
    <e v="#N/A"/>
    <x v="0"/>
    <x v="0"/>
    <s v="PC79749"/>
    <s v="GC3200"/>
    <x v="0"/>
    <s v="FROZEN BONE IN GOAT CARCASE PIECES 6 WAY CUT 12-16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9"/>
    <e v="#N/A"/>
    <x v="0"/>
    <x v="0"/>
    <s v="PC82176"/>
    <s v="M2202D"/>
    <x v="2"/>
    <s v="BONE IN MUTTON CARCASE 6 CUT LP"/>
    <x v="13"/>
    <n v="9.4"/>
    <n v="9.4"/>
    <x v="2"/>
    <n v="235000"/>
    <n v="235000"/>
    <n v="25000"/>
    <s v="KG"/>
    <n v="0"/>
    <n v="25000"/>
    <m/>
    <s v="SHEEP"/>
    <n v="0"/>
    <m/>
    <m/>
  </r>
  <r>
    <x v="0"/>
    <x v="30"/>
    <e v="#N/A"/>
    <x v="0"/>
    <x v="0"/>
    <s v="PC82177"/>
    <s v="M2202D"/>
    <x v="2"/>
    <s v="BONE IN MUTTON CARCASE 6 CUT LP"/>
    <x v="13"/>
    <n v="9.4"/>
    <n v="9.4"/>
    <x v="2"/>
    <n v="235000"/>
    <n v="235000"/>
    <n v="25000"/>
    <s v="KG"/>
    <n v="0"/>
    <n v="25000"/>
    <m/>
    <s v="SHEEP"/>
    <n v="0"/>
    <m/>
    <m/>
  </r>
  <r>
    <x v="0"/>
    <x v="30"/>
    <e v="#N/A"/>
    <x v="0"/>
    <x v="0"/>
    <s v="PC82177"/>
    <s v="M2219"/>
    <x v="2"/>
    <s v="BONE IN MUTTON CARCASE PIECES LP 730 f H"/>
    <x v="13"/>
    <n v="9.4"/>
    <n v="9.4"/>
    <x v="2"/>
    <n v="0"/>
    <n v="0"/>
    <n v="0"/>
    <s v="KG"/>
    <n v="0"/>
    <n v="0"/>
    <m/>
    <s v="SHEEP"/>
    <n v="0"/>
    <m/>
    <m/>
  </r>
  <r>
    <x v="0"/>
    <x v="31"/>
    <e v="#N/A"/>
    <x v="0"/>
    <x v="0"/>
    <s v="PC82311"/>
    <s v="M2222"/>
    <x v="2"/>
    <s v="BONE IN MUTTON PIECES HALF CARCASE 365 Arabic"/>
    <x v="13"/>
    <n v="8"/>
    <n v="8"/>
    <x v="2"/>
    <n v="176000"/>
    <n v="176000"/>
    <n v="22000"/>
    <s v="KG"/>
    <n v="0"/>
    <n v="22000"/>
    <m/>
    <s v="SHEEP"/>
    <n v="0"/>
    <m/>
    <m/>
  </r>
  <r>
    <x v="0"/>
    <x v="32"/>
    <e v="#N/A"/>
    <x v="2"/>
    <x v="0"/>
    <n v="515674"/>
    <s v="G3222"/>
    <x v="0"/>
    <s v="2 BONE IN GOAT FULL CARCASE IW U-12 12PC 365 f"/>
    <x v="14"/>
    <n v="8.4"/>
    <n v="8.4"/>
    <x v="2"/>
    <n v="69997.2"/>
    <n v="69997.2"/>
    <n v="8333"/>
    <s v="KG"/>
    <n v="0"/>
    <n v="8333"/>
    <m/>
    <s v="GOAT"/>
    <n v="0"/>
    <m/>
    <m/>
  </r>
  <r>
    <x v="0"/>
    <x v="32"/>
    <e v="#N/A"/>
    <x v="2"/>
    <x v="0"/>
    <n v="515674"/>
    <s v="G3225"/>
    <x v="0"/>
    <s v="BONE IN GOAT CARCASE PIECES 6PC IW 365 f"/>
    <x v="14"/>
    <n v="8.4"/>
    <n v="8.4"/>
    <x v="2"/>
    <n v="69997.2"/>
    <n v="69997.2"/>
    <n v="8333"/>
    <s v="KG"/>
    <n v="0"/>
    <n v="8333"/>
    <m/>
    <s v="GOAT"/>
    <n v="0"/>
    <m/>
    <m/>
  </r>
  <r>
    <x v="0"/>
    <x v="32"/>
    <e v="#N/A"/>
    <x v="2"/>
    <x v="0"/>
    <n v="515674"/>
    <s v="G3226"/>
    <x v="0"/>
    <s v="BONE IN GOAT CARCASE PIECES 6PC IW 365 f"/>
    <x v="14"/>
    <n v="8.4"/>
    <n v="8.4"/>
    <x v="2"/>
    <n v="69997.2"/>
    <n v="69997.2"/>
    <n v="8333"/>
    <s v="KG"/>
    <n v="0"/>
    <n v="8333"/>
    <m/>
    <s v="GOAT"/>
    <n v="0"/>
    <m/>
    <m/>
  </r>
  <r>
    <x v="1"/>
    <x v="33"/>
    <e v="#N/A"/>
    <x v="2"/>
    <x v="0"/>
    <n v="11966"/>
    <n v="6532"/>
    <x v="4"/>
    <s v="VEAL LIVER"/>
    <x v="15"/>
    <n v="1.9"/>
    <n v="1.9"/>
    <x v="2"/>
    <n v="28500"/>
    <n v="28500"/>
    <n v="15000"/>
    <s v="KG"/>
    <n v="0"/>
    <n v="15000"/>
    <m/>
    <s v="VEAL"/>
    <n v="0"/>
    <m/>
    <m/>
  </r>
  <r>
    <x v="0"/>
    <x v="34"/>
    <e v="#N/A"/>
    <x v="2"/>
    <x v="0"/>
    <s v="PO12455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1"/>
    <e v="#N/A"/>
    <x v="2"/>
    <x v="0"/>
    <s v="PC83299"/>
    <s v="GC3200"/>
    <x v="0"/>
    <s v="FROZEN BONE IN GOAT CARCASE PIECES 6 WAY CUT 12-16KG"/>
    <x v="13"/>
    <n v="9.5"/>
    <n v="9.5"/>
    <x v="2"/>
    <n v="79163.5"/>
    <n v="79163.5"/>
    <n v="8333"/>
    <s v="KG"/>
    <n v="0"/>
    <n v="8333"/>
    <m/>
    <s v="GOAT"/>
    <n v="0"/>
    <m/>
    <m/>
  </r>
  <r>
    <x v="0"/>
    <x v="41"/>
    <e v="#N/A"/>
    <x v="2"/>
    <x v="0"/>
    <s v="PC83299"/>
    <s v="GC3207"/>
    <x v="0"/>
    <s v="FROZEN BONE IN GOAT CARCASE PIECES 6 WAY CUT 24-32KG"/>
    <x v="13"/>
    <n v="9.5"/>
    <n v="9.5"/>
    <x v="2"/>
    <n v="79163.5"/>
    <n v="79163.5"/>
    <n v="8333"/>
    <s v="KG"/>
    <n v="0"/>
    <n v="8333"/>
    <m/>
    <s v="GOAT"/>
    <n v="0"/>
    <m/>
    <m/>
  </r>
  <r>
    <x v="0"/>
    <x v="41"/>
    <e v="#N/A"/>
    <x v="2"/>
    <x v="0"/>
    <s v="PC83299"/>
    <s v="GC3208"/>
    <x v="0"/>
    <s v="FROZEN BONE IN GOAT CARCASE PIECES 6 WAY CUT 16-24KG"/>
    <x v="13"/>
    <n v="9.5"/>
    <n v="9.5"/>
    <x v="2"/>
    <n v="79163.5"/>
    <n v="79163.5"/>
    <n v="8333"/>
    <s v="KG"/>
    <n v="0"/>
    <n v="8333"/>
    <m/>
    <s v="GOAT"/>
    <n v="0"/>
    <m/>
    <m/>
  </r>
  <r>
    <x v="0"/>
    <x v="42"/>
    <e v="#N/A"/>
    <x v="1"/>
    <x v="3"/>
    <s v="PO12757"/>
    <s v="03034"/>
    <x v="1"/>
    <s v="FROZEN BONE IN LAMB  CARCASE "/>
    <x v="15"/>
    <n v="11.5"/>
    <n v="11.5"/>
    <x v="2"/>
    <n v="195500"/>
    <n v="195500"/>
    <n v="17000"/>
    <s v="KG"/>
    <n v="0"/>
    <n v="17000"/>
    <m/>
    <s v="LAMB"/>
    <n v="0"/>
    <m/>
    <m/>
  </r>
  <r>
    <x v="0"/>
    <x v="43"/>
    <e v="#N/A"/>
    <x v="2"/>
    <x v="0"/>
    <s v="PC83351"/>
    <s v="03034"/>
    <x v="1"/>
    <s v="FROZEN BONE IN LAMB  CARCASE "/>
    <x v="13"/>
    <n v="11.6"/>
    <n v="11.6"/>
    <x v="2"/>
    <n v="197200"/>
    <n v="197200"/>
    <n v="17000"/>
    <s v="KG"/>
    <n v="0"/>
    <n v="17000"/>
    <m/>
    <s v="LAMB"/>
    <n v="0"/>
    <m/>
    <m/>
  </r>
  <r>
    <x v="0"/>
    <x v="44"/>
    <e v="#N/A"/>
    <x v="2"/>
    <x v="0"/>
    <s v="PC83352"/>
    <s v="03034"/>
    <x v="1"/>
    <s v="FROZEN BONE IN LAMB  CARCASE "/>
    <x v="13"/>
    <n v="11.6"/>
    <n v="11.6"/>
    <x v="2"/>
    <n v="197200"/>
    <n v="197200"/>
    <n v="17000"/>
    <s v="KG"/>
    <n v="0"/>
    <n v="17000"/>
    <m/>
    <s v="LAMB"/>
    <n v="0"/>
    <m/>
    <m/>
  </r>
  <r>
    <x v="0"/>
    <x v="45"/>
    <e v="#N/A"/>
    <x v="2"/>
    <x v="0"/>
    <s v="PO12792"/>
    <s v="G3222"/>
    <x v="0"/>
    <s v="2 BONE IN GOAT FULL CARCASE IW U-12 12PC 365 f"/>
    <x v="15"/>
    <n v="9.8000000000000007"/>
    <n v="9.8000000000000007"/>
    <x v="2"/>
    <n v="122500.00000000001"/>
    <n v="122500.00000000001"/>
    <n v="12500"/>
    <s v="KG"/>
    <n v="0"/>
    <n v="12500"/>
    <m/>
    <s v="GOAT"/>
    <n v="0"/>
    <m/>
    <m/>
  </r>
  <r>
    <x v="0"/>
    <x v="45"/>
    <e v="#N/A"/>
    <x v="2"/>
    <x v="0"/>
    <s v="PO12792"/>
    <s v="G3226"/>
    <x v="0"/>
    <s v="BONE IN GOAT CARCASE PIECES 6PC IW 365 f"/>
    <x v="15"/>
    <n v="9.8000000000000007"/>
    <n v="9.8000000000000007"/>
    <x v="2"/>
    <n v="122500.00000000001"/>
    <n v="122500.00000000001"/>
    <n v="12500"/>
    <s v="KG"/>
    <n v="0"/>
    <n v="12500"/>
    <m/>
    <s v="GOAT"/>
    <n v="0"/>
    <m/>
    <m/>
  </r>
  <r>
    <x v="0"/>
    <x v="46"/>
    <e v="#N/A"/>
    <x v="2"/>
    <x v="0"/>
    <s v="MC18727"/>
    <s v="V4204"/>
    <x v="4"/>
    <s v="BONE IN VEAL LP FULL CARCASE 6PCS f 730"/>
    <x v="16"/>
    <n v="6.65"/>
    <n v="6.65"/>
    <x v="2"/>
    <n v="166250"/>
    <n v="166250"/>
    <n v="25000"/>
    <s v="KG"/>
    <n v="0"/>
    <n v="25000"/>
    <m/>
    <s v="VEAL"/>
    <n v="0"/>
    <m/>
    <m/>
  </r>
  <r>
    <x v="0"/>
    <x v="47"/>
    <e v="#N/A"/>
    <x v="2"/>
    <x v="0"/>
    <s v="MC18728"/>
    <s v="V4204"/>
    <x v="4"/>
    <s v="BONE IN VEAL LP FULL CARCASE 6PCS f 730"/>
    <x v="16"/>
    <n v="6.65"/>
    <n v="6.65"/>
    <x v="2"/>
    <n v="166250"/>
    <n v="166250"/>
    <n v="25000"/>
    <s v="KG"/>
    <n v="0"/>
    <n v="25000"/>
    <m/>
    <s v="VEAL"/>
    <n v="0"/>
    <m/>
    <m/>
  </r>
  <r>
    <x v="0"/>
    <x v="48"/>
    <e v="#N/A"/>
    <x v="2"/>
    <x v="0"/>
    <s v="PO11417"/>
    <s v="G3222"/>
    <x v="0"/>
    <s v="2 BONE IN GOAT FULL CARCASE IW U-12 12PC 365 f"/>
    <x v="17"/>
    <n v="9.65"/>
    <n v="9.65"/>
    <x v="2"/>
    <n v="231600"/>
    <n v="231600"/>
    <n v="24000"/>
    <s v="KG"/>
    <n v="0"/>
    <n v="24000"/>
    <m/>
    <s v="GOAT"/>
    <n v="0"/>
    <m/>
    <m/>
  </r>
  <r>
    <x v="0"/>
    <x v="49"/>
    <e v="#N/A"/>
    <x v="1"/>
    <x v="3"/>
    <n v="4630018808"/>
    <s v="L1085"/>
    <x v="1"/>
    <s v="BONE IN LAMB CARCASE PIECES"/>
    <x v="18"/>
    <n v="11"/>
    <n v="11"/>
    <x v="2"/>
    <n v="110000"/>
    <n v="110000"/>
    <n v="10000"/>
    <s v="KG"/>
    <n v="0"/>
    <n v="10000"/>
    <m/>
    <s v="LAMB"/>
    <n v="0"/>
    <m/>
    <m/>
  </r>
  <r>
    <x v="0"/>
    <x v="50"/>
    <e v="#N/A"/>
    <x v="2"/>
    <x v="0"/>
    <s v="PO11421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0"/>
    <x v="51"/>
    <e v="#N/A"/>
    <x v="2"/>
    <x v="0"/>
    <s v="PO11422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0"/>
    <x v="52"/>
    <e v="#N/A"/>
    <x v="2"/>
    <x v="0"/>
    <s v="PO11423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1"/>
    <x v="53"/>
    <e v="#N/A"/>
    <x v="0"/>
    <x v="0"/>
    <m/>
    <s v="9230C"/>
    <x v="1"/>
    <s v="FROZEN LAMB CASINGS"/>
    <x v="19"/>
    <n v="3.6"/>
    <n v="3.6"/>
    <x v="2"/>
    <n v="45000"/>
    <n v="45000"/>
    <n v="12500"/>
    <s v="Piece"/>
    <n v="8002.1"/>
    <n v="4497.8999999999996"/>
    <s v="Deposit (rolled) has been received from the customer."/>
    <s v="LAMB"/>
    <n v="0"/>
    <n v="5000"/>
    <m/>
  </r>
  <r>
    <x v="1"/>
    <x v="53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12500"/>
    <n v="0"/>
    <s v="Deposit (rolled) has been received from the customer."/>
    <s v="SHEEP"/>
    <n v="0"/>
    <n v="5000"/>
    <m/>
  </r>
  <r>
    <x v="1"/>
    <x v="54"/>
    <e v="#N/A"/>
    <x v="0"/>
    <x v="0"/>
    <m/>
    <s v="9230C"/>
    <x v="1"/>
    <s v="FROZEN LAMB CASINGS"/>
    <x v="19"/>
    <n v="3.6"/>
    <n v="3.6"/>
    <x v="2"/>
    <n v="45000"/>
    <n v="45000"/>
    <n v="12500"/>
    <s v="Piece"/>
    <n v="0"/>
    <n v="12500"/>
    <s v="Deposit (rolled) has been received from the customer."/>
    <s v="LAMB"/>
    <n v="0"/>
    <n v="5000"/>
    <m/>
  </r>
  <r>
    <x v="1"/>
    <x v="54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6591.7000000000007"/>
    <n v="5908.2999999999993"/>
    <s v="Deposit (rolled) has been received from the customer."/>
    <s v="SHEEP"/>
    <n v="0"/>
    <n v="5000"/>
    <m/>
  </r>
  <r>
    <x v="1"/>
    <x v="55"/>
    <e v="#N/A"/>
    <x v="0"/>
    <x v="0"/>
    <m/>
    <s v="9230C"/>
    <x v="1"/>
    <s v="FROZEN LAMB CASINGS"/>
    <x v="19"/>
    <n v="3.6"/>
    <n v="3.6"/>
    <x v="2"/>
    <n v="45000"/>
    <n v="45000"/>
    <n v="12500"/>
    <s v="Piece"/>
    <n v="0"/>
    <n v="12500"/>
    <s v="Deposit (rolled) has been received from the customer."/>
    <s v="LAMB"/>
    <n v="0"/>
    <n v="5000"/>
    <m/>
  </r>
  <r>
    <x v="1"/>
    <x v="55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0"/>
    <n v="12500"/>
    <s v="Deposit (rolled) has been received from the customer."/>
    <s v="SHEEP"/>
    <n v="0"/>
    <n v="5000"/>
    <m/>
  </r>
  <r>
    <x v="1"/>
    <x v="56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6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7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7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8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8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9"/>
    <e v="#N/A"/>
    <x v="0"/>
    <x v="0"/>
    <m/>
    <s v="PETE09"/>
    <x v="0"/>
    <s v="GOAT PLUCKS"/>
    <x v="21"/>
    <n v="1.35"/>
    <n v="2.2500000000000004"/>
    <x v="3"/>
    <n v="31455.000000000004"/>
    <n v="52425.000000000007"/>
    <n v="23300"/>
    <s v="KG"/>
    <n v="0"/>
    <n v="23300"/>
    <s v="No deposit required, Customer paid cash against documents"/>
    <s v="GOAT"/>
    <n v="0"/>
    <m/>
    <m/>
  </r>
  <r>
    <x v="1"/>
    <x v="60"/>
    <e v="#N/A"/>
    <x v="0"/>
    <x v="0"/>
    <m/>
    <s v="PETE09"/>
    <x v="0"/>
    <s v="GOAT PLUCKS"/>
    <x v="21"/>
    <n v="1.35"/>
    <n v="2.2500000000000004"/>
    <x v="3"/>
    <n v="31455.000000000004"/>
    <n v="52425.000000000007"/>
    <n v="23300"/>
    <s v="KG"/>
    <n v="0"/>
    <n v="23300"/>
    <s v="No deposit required, Customer paid cash against documents"/>
    <s v="GOAT"/>
    <n v="0"/>
    <m/>
    <m/>
  </r>
  <r>
    <x v="1"/>
    <x v="61"/>
    <e v="#N/A"/>
    <x v="0"/>
    <x v="0"/>
    <m/>
    <s v="9103C"/>
    <x v="0"/>
    <s v="FROZEN GOAT CASINGS"/>
    <x v="19"/>
    <n v="0.92"/>
    <n v="0.92"/>
    <x v="2"/>
    <n v="55200"/>
    <n v="55200"/>
    <n v="60000"/>
    <s v="Piece"/>
    <n v="0"/>
    <n v="60000"/>
    <s v="Deposit (rolled) has been received from the customer."/>
    <s v="GOAT"/>
    <n v="0"/>
    <n v="12998.19"/>
    <m/>
  </r>
  <r>
    <x v="1"/>
    <x v="62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2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3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3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4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4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5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5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6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6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7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7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8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8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9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9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0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70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1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71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2"/>
    <e v="#N/A"/>
    <x v="0"/>
    <x v="0"/>
    <n v="5001"/>
    <s v="7033E"/>
    <x v="0"/>
    <s v="GOAT LIVER"/>
    <x v="23"/>
    <n v="2.17"/>
    <n v="3.6166666666666667"/>
    <x v="3"/>
    <n v="24955"/>
    <n v="41591.666666666672"/>
    <n v="11500"/>
    <s v="KG"/>
    <n v="0"/>
    <n v="11500"/>
    <s v="Deposit (rolled) has been received from the customer."/>
    <s v="GOAT"/>
    <n v="0"/>
    <m/>
    <m/>
  </r>
  <r>
    <x v="1"/>
    <x v="72"/>
    <e v="#N/A"/>
    <x v="0"/>
    <x v="0"/>
    <n v="5001"/>
    <s v="7053E"/>
    <x v="0"/>
    <s v="GOAT HEARTS"/>
    <x v="23"/>
    <n v="2.17"/>
    <n v="3.6166666666666667"/>
    <x v="3"/>
    <n v="13020"/>
    <n v="21700"/>
    <n v="6000"/>
    <s v="KG"/>
    <n v="0"/>
    <n v="6000"/>
    <s v="Deposit (rolled) has been received from the customer."/>
    <s v="GOAT"/>
    <n v="0"/>
    <m/>
    <m/>
  </r>
  <r>
    <x v="1"/>
    <x v="73"/>
    <e v="#N/A"/>
    <x v="0"/>
    <x v="0"/>
    <m/>
    <s v="9230C"/>
    <x v="1"/>
    <s v="FROZEN LAMB CASINGS"/>
    <x v="24"/>
    <n v="5.2"/>
    <n v="5.2"/>
    <x v="2"/>
    <n v="85800"/>
    <n v="85800"/>
    <n v="16500"/>
    <s v="Piece"/>
    <n v="0"/>
    <n v="16500"/>
    <s v="Deposit will be paid once production is confirmed"/>
    <s v="LAMB"/>
    <n v="0"/>
    <m/>
    <m/>
  </r>
  <r>
    <x v="1"/>
    <x v="73"/>
    <e v="#N/A"/>
    <x v="0"/>
    <x v="0"/>
    <m/>
    <s v="9322C"/>
    <x v="2"/>
    <s v="FROZEN SHEEP CASINGS"/>
    <x v="24"/>
    <n v="3.7"/>
    <n v="3.7"/>
    <x v="2"/>
    <n v="61050"/>
    <n v="61050"/>
    <n v="16500"/>
    <s v="Piece"/>
    <n v="0"/>
    <n v="16500"/>
    <s v="Deposit will be paid once production is confirmed"/>
    <s v="SHEEP"/>
    <n v="0"/>
    <m/>
    <m/>
  </r>
  <r>
    <x v="1"/>
    <x v="74"/>
    <e v="#N/A"/>
    <x v="3"/>
    <x v="0"/>
    <m/>
    <n v="7030"/>
    <x v="5"/>
    <s v="FROZEN SHEEP LIVER"/>
    <x v="25"/>
    <n v="2.12"/>
    <n v="4.24"/>
    <x v="4"/>
    <n v="53000"/>
    <n v="106000"/>
    <n v="25000"/>
    <s v="KG"/>
    <n v="0"/>
    <n v="25000"/>
    <s v="Deposit will be paid once production is confirmed"/>
    <s v="OFFAL"/>
    <n v="0"/>
    <m/>
    <m/>
  </r>
  <r>
    <x v="1"/>
    <x v="75"/>
    <e v="#N/A"/>
    <x v="3"/>
    <x v="0"/>
    <m/>
    <s v="7050B"/>
    <x v="2"/>
    <s v="SHEEP HEARTS "/>
    <x v="25"/>
    <n v="1.74"/>
    <n v="2.5217391304347827"/>
    <x v="0"/>
    <n v="29580"/>
    <n v="42257.142857142862"/>
    <n v="17000"/>
    <s v="KG"/>
    <n v="0"/>
    <n v="17000"/>
    <s v="Deposit will be paid once production is confirmed"/>
    <s v="SHEEP"/>
    <n v="0"/>
    <m/>
    <m/>
  </r>
  <r>
    <x v="1"/>
    <x v="76"/>
    <e v="#N/A"/>
    <x v="3"/>
    <x v="0"/>
    <m/>
    <s v="PETS01"/>
    <x v="2"/>
    <s v="OVINE LIVER"/>
    <x v="23"/>
    <n v="1.1499999999999999"/>
    <n v="1.9166666666666665"/>
    <x v="3"/>
    <n v="6899.9999999999991"/>
    <n v="11499.999999999998"/>
    <n v="6000"/>
    <s v="KG"/>
    <n v="0"/>
    <n v="6000"/>
    <s v="Deposit will be paid once production is confirmed"/>
    <s v="SHEEP"/>
    <n v="0"/>
    <m/>
    <m/>
  </r>
  <r>
    <x v="1"/>
    <x v="76"/>
    <e v="#N/A"/>
    <x v="3"/>
    <x v="0"/>
    <m/>
    <s v="PETE03"/>
    <x v="2"/>
    <s v="OVINE LUNG LOBE"/>
    <x v="23"/>
    <n v="1.1499999999999999"/>
    <n v="1.9166666666666665"/>
    <x v="3"/>
    <n v="3449.9999999999995"/>
    <n v="5749.9999999999991"/>
    <n v="3000"/>
    <s v="KG"/>
    <n v="0"/>
    <n v="3000"/>
    <s v="Deposit will be paid once production is confirmed"/>
    <s v="SHEEP"/>
    <n v="0"/>
    <m/>
    <m/>
  </r>
  <r>
    <x v="1"/>
    <x v="76"/>
    <e v="#N/A"/>
    <x v="3"/>
    <x v="0"/>
    <m/>
    <s v="PETE04"/>
    <x v="0"/>
    <s v="GOAT LUNG "/>
    <x v="23"/>
    <n v="1.35"/>
    <n v="2.2500000000000004"/>
    <x v="3"/>
    <n v="4050.0000000000005"/>
    <n v="6750.0000000000009"/>
    <n v="3000"/>
    <s v="KG"/>
    <n v="0"/>
    <n v="3000"/>
    <s v="Deposit will be paid once production is confirmed"/>
    <s v="GOAT"/>
    <n v="0"/>
    <m/>
    <m/>
  </r>
  <r>
    <x v="1"/>
    <x v="76"/>
    <e v="#N/A"/>
    <x v="3"/>
    <x v="0"/>
    <m/>
    <s v="PETE22"/>
    <x v="0"/>
    <s v="GOAT TRIPE"/>
    <x v="23"/>
    <n v="1.35"/>
    <n v="2.2500000000000004"/>
    <x v="3"/>
    <n v="6750"/>
    <n v="11250"/>
    <n v="5000"/>
    <s v="KG"/>
    <n v="0"/>
    <n v="5000"/>
    <s v="Deposit will be paid once production is confirmed"/>
    <s v="GOAT"/>
    <n v="0"/>
    <m/>
    <m/>
  </r>
  <r>
    <x v="1"/>
    <x v="76"/>
    <e v="#N/A"/>
    <x v="3"/>
    <x v="0"/>
    <m/>
    <s v="PETE02"/>
    <x v="0"/>
    <s v="GOAT LIVER"/>
    <x v="23"/>
    <n v="1.35"/>
    <n v="2.2500000000000004"/>
    <x v="3"/>
    <n v="1350"/>
    <n v="2250"/>
    <n v="1000"/>
    <s v="KG"/>
    <n v="0"/>
    <n v="1000"/>
    <s v="Deposit will be paid once production is confirmed"/>
    <s v="GOAT"/>
    <n v="0"/>
    <m/>
    <m/>
  </r>
  <r>
    <x v="1"/>
    <x v="76"/>
    <e v="#N/A"/>
    <x v="3"/>
    <x v="0"/>
    <m/>
    <s v="PETE12"/>
    <x v="2"/>
    <s v="SHEEP KIDNEY"/>
    <x v="23"/>
    <n v="1.35"/>
    <n v="2.2500000000000004"/>
    <x v="3"/>
    <n v="1350"/>
    <n v="2250"/>
    <n v="1000"/>
    <s v="KG"/>
    <n v="0"/>
    <n v="1000"/>
    <s v="Deposit will be paid once production is confirmed"/>
    <s v="SHEEP"/>
    <n v="0"/>
    <m/>
    <m/>
  </r>
  <r>
    <x v="1"/>
    <x v="76"/>
    <e v="#N/A"/>
    <x v="3"/>
    <x v="0"/>
    <m/>
    <s v="PETE18"/>
    <x v="0"/>
    <s v="GOAT NECK TRIMMINGS"/>
    <x v="23"/>
    <n v="2.1"/>
    <n v="3.5000000000000004"/>
    <x v="3"/>
    <n v="4200"/>
    <n v="7000"/>
    <n v="2000"/>
    <s v="KG"/>
    <n v="0"/>
    <n v="2000"/>
    <s v="Deposit will be paid once production is confirmed"/>
    <s v="GOAT"/>
    <n v="0"/>
    <m/>
    <m/>
  </r>
  <r>
    <x v="1"/>
    <x v="76"/>
    <e v="#N/A"/>
    <x v="3"/>
    <x v="0"/>
    <m/>
    <s v="PETE11"/>
    <x v="2"/>
    <s v="OVINE NECK TRIMMING"/>
    <x v="23"/>
    <n v="2.1"/>
    <n v="3.5000000000000004"/>
    <x v="3"/>
    <n v="2100"/>
    <n v="3500"/>
    <n v="1000"/>
    <s v="KG"/>
    <n v="0"/>
    <n v="1000"/>
    <s v="Deposit will be paid once production is confirmed"/>
    <s v="SHEEP"/>
    <n v="0"/>
    <m/>
    <m/>
  </r>
  <r>
    <x v="1"/>
    <x v="77"/>
    <e v="#N/A"/>
    <x v="3"/>
    <x v="0"/>
    <m/>
    <s v="PETS01"/>
    <x v="2"/>
    <s v="OVINE LIVER"/>
    <x v="23"/>
    <n v="1.1499999999999999"/>
    <n v="1.9166666666666665"/>
    <x v="3"/>
    <n v="6899.9999999999991"/>
    <n v="11499.999999999998"/>
    <n v="6000"/>
    <s v="KG"/>
    <n v="0"/>
    <n v="6000"/>
    <s v="Deposit will be paid once production is confirmed"/>
    <s v="SHEEP"/>
    <n v="0"/>
    <m/>
    <m/>
  </r>
  <r>
    <x v="1"/>
    <x v="77"/>
    <e v="#N/A"/>
    <x v="3"/>
    <x v="0"/>
    <m/>
    <s v="PETE03"/>
    <x v="2"/>
    <s v="OVINE LUNG LOBE"/>
    <x v="23"/>
    <n v="1.1499999999999999"/>
    <n v="1.9166666666666665"/>
    <x v="3"/>
    <n v="3449.9999999999995"/>
    <n v="5749.9999999999991"/>
    <n v="3000"/>
    <s v="KG"/>
    <n v="0"/>
    <n v="3000"/>
    <s v="Deposit will be paid once production is confirmed"/>
    <s v="SHEEP"/>
    <n v="0"/>
    <m/>
    <m/>
  </r>
  <r>
    <x v="1"/>
    <x v="77"/>
    <e v="#N/A"/>
    <x v="3"/>
    <x v="0"/>
    <m/>
    <s v="PETE04"/>
    <x v="0"/>
    <s v="GOAT LUNG "/>
    <x v="23"/>
    <n v="1.35"/>
    <n v="2.2500000000000004"/>
    <x v="3"/>
    <n v="4050.0000000000005"/>
    <n v="6750.0000000000009"/>
    <n v="3000"/>
    <s v="KG"/>
    <n v="0"/>
    <n v="3000"/>
    <s v="Deposit will be paid once production is confirmed"/>
    <s v="GOAT"/>
    <n v="0"/>
    <m/>
    <m/>
  </r>
  <r>
    <x v="1"/>
    <x v="77"/>
    <e v="#N/A"/>
    <x v="3"/>
    <x v="0"/>
    <m/>
    <s v="PETE22"/>
    <x v="0"/>
    <s v="GOAT TRIPE"/>
    <x v="23"/>
    <n v="1.35"/>
    <n v="2.2500000000000004"/>
    <x v="3"/>
    <n v="6750"/>
    <n v="11250"/>
    <n v="5000"/>
    <s v="KG"/>
    <n v="0"/>
    <n v="5000"/>
    <s v="Deposit will be paid once production is confirmed"/>
    <s v="GOAT"/>
    <n v="0"/>
    <m/>
    <m/>
  </r>
  <r>
    <x v="1"/>
    <x v="77"/>
    <e v="#N/A"/>
    <x v="3"/>
    <x v="0"/>
    <m/>
    <s v="PETE02"/>
    <x v="0"/>
    <s v="GOAT LIVER"/>
    <x v="23"/>
    <n v="1.35"/>
    <n v="2.2500000000000004"/>
    <x v="3"/>
    <n v="1350"/>
    <n v="2250"/>
    <n v="1000"/>
    <s v="KG"/>
    <n v="0"/>
    <n v="1000"/>
    <s v="Deposit will be paid once production is confirmed"/>
    <s v="GOAT"/>
    <n v="0"/>
    <m/>
    <m/>
  </r>
  <r>
    <x v="1"/>
    <x v="77"/>
    <e v="#N/A"/>
    <x v="3"/>
    <x v="0"/>
    <m/>
    <s v="PETE12"/>
    <x v="2"/>
    <s v="SHEEP KIDNEY"/>
    <x v="23"/>
    <n v="1.35"/>
    <n v="2.2500000000000004"/>
    <x v="3"/>
    <n v="1350"/>
    <n v="2250"/>
    <n v="1000"/>
    <s v="KG"/>
    <n v="0"/>
    <n v="1000"/>
    <s v="Deposit will be paid once production is confirmed"/>
    <s v="SHEEP"/>
    <n v="0"/>
    <m/>
    <m/>
  </r>
  <r>
    <x v="1"/>
    <x v="77"/>
    <e v="#N/A"/>
    <x v="3"/>
    <x v="0"/>
    <m/>
    <s v="PETE18"/>
    <x v="0"/>
    <s v="GOAT NECK TRIMMINGS"/>
    <x v="23"/>
    <n v="2.1"/>
    <n v="3.5000000000000004"/>
    <x v="3"/>
    <n v="4200"/>
    <n v="7000"/>
    <n v="2000"/>
    <s v="KG"/>
    <n v="0"/>
    <n v="2000"/>
    <s v="Deposit will be paid once production is confirmed"/>
    <s v="GOAT"/>
    <n v="0"/>
    <m/>
    <m/>
  </r>
  <r>
    <x v="1"/>
    <x v="77"/>
    <e v="#N/A"/>
    <x v="3"/>
    <x v="0"/>
    <m/>
    <s v="PETE11"/>
    <x v="2"/>
    <s v="OVINE NECK TRIMMING"/>
    <x v="23"/>
    <n v="2.1"/>
    <n v="3.5000000000000004"/>
    <x v="3"/>
    <n v="2100"/>
    <n v="3500"/>
    <n v="1000"/>
    <s v="KG"/>
    <n v="0"/>
    <n v="1000"/>
    <s v="Deposit will be paid once production is confirmed"/>
    <s v="SHEEP"/>
    <n v="0"/>
    <m/>
    <m/>
  </r>
  <r>
    <x v="1"/>
    <x v="78"/>
    <e v="#N/A"/>
    <x v="3"/>
    <x v="0"/>
    <m/>
    <s v="PETS03"/>
    <x v="2"/>
    <s v="OVINE LUNG LOBE"/>
    <x v="26"/>
    <n v="1.18"/>
    <n v="1.9666666666666666"/>
    <x v="3"/>
    <n v="2360"/>
    <n v="3933.3333333333335"/>
    <n v="2000"/>
    <s v="KG"/>
    <n v="0"/>
    <n v="2000"/>
    <s v="Deposit will be paid once production is confirmed"/>
    <s v="SHEEP"/>
    <n v="0"/>
    <m/>
    <m/>
  </r>
  <r>
    <x v="1"/>
    <x v="78"/>
    <e v="#N/A"/>
    <x v="3"/>
    <x v="0"/>
    <m/>
    <s v="PETE01"/>
    <x v="2"/>
    <s v="OVINE LIVER"/>
    <x v="26"/>
    <n v="1.1499999999999999"/>
    <n v="1.9166666666666665"/>
    <x v="3"/>
    <n v="11500"/>
    <n v="19166.666666666668"/>
    <n v="10000"/>
    <s v="KG"/>
    <n v="0"/>
    <n v="10000"/>
    <s v="Deposit will be paid once production is confirmed"/>
    <s v="SHEEP"/>
    <n v="0"/>
    <m/>
    <m/>
  </r>
  <r>
    <x v="1"/>
    <x v="78"/>
    <e v="#N/A"/>
    <x v="3"/>
    <x v="0"/>
    <m/>
    <s v="PETE14"/>
    <x v="2"/>
    <s v="SHEEP OFFAL MIX"/>
    <x v="26"/>
    <n v="1.1399999999999999"/>
    <n v="1.9"/>
    <x v="3"/>
    <n v="12881.999999999998"/>
    <n v="21469.999999999996"/>
    <n v="11300"/>
    <s v="KG"/>
    <n v="0"/>
    <n v="11300"/>
    <s v="Deposit will be paid once production is confirmed"/>
    <s v="SHEEP"/>
    <n v="0"/>
    <m/>
    <m/>
  </r>
  <r>
    <x v="1"/>
    <x v="79"/>
    <e v="#N/A"/>
    <x v="3"/>
    <x v="0"/>
    <m/>
    <s v="PETS03"/>
    <x v="2"/>
    <s v="OVINE LUNG LOBE"/>
    <x v="26"/>
    <n v="1.18"/>
    <n v="1.9666666666666666"/>
    <x v="3"/>
    <n v="2360"/>
    <n v="3933.3333333333335"/>
    <n v="2000"/>
    <s v="KG"/>
    <n v="0"/>
    <n v="2000"/>
    <s v="Deposit will be paid once production is confirmed"/>
    <s v="SHEEP"/>
    <n v="0"/>
    <m/>
    <m/>
  </r>
  <r>
    <x v="1"/>
    <x v="79"/>
    <e v="#N/A"/>
    <x v="3"/>
    <x v="0"/>
    <m/>
    <s v="PETE01"/>
    <x v="2"/>
    <s v="OVINE LIVER"/>
    <x v="26"/>
    <n v="1.1499999999999999"/>
    <n v="1.9166666666666665"/>
    <x v="3"/>
    <n v="11500"/>
    <n v="19166.666666666668"/>
    <n v="10000"/>
    <s v="KG"/>
    <n v="0"/>
    <n v="10000"/>
    <s v="Deposit will be paid once production is confirmed"/>
    <s v="SHEEP"/>
    <n v="0"/>
    <m/>
    <m/>
  </r>
  <r>
    <x v="1"/>
    <x v="79"/>
    <e v="#N/A"/>
    <x v="3"/>
    <x v="0"/>
    <m/>
    <s v="PETE14"/>
    <x v="2"/>
    <s v="SHEEP OFFAL MIX"/>
    <x v="26"/>
    <n v="1.1399999999999999"/>
    <n v="1.9"/>
    <x v="3"/>
    <n v="12881.999999999998"/>
    <n v="21469.999999999996"/>
    <n v="11300"/>
    <s v="KG"/>
    <n v="0"/>
    <n v="11300"/>
    <s v="Deposit will be paid once production is confirmed"/>
    <s v="SHEEP"/>
    <n v="0"/>
    <m/>
    <m/>
  </r>
  <r>
    <x v="1"/>
    <x v="80"/>
    <e v="#N/A"/>
    <x v="3"/>
    <x v="0"/>
    <m/>
    <s v="6532E"/>
    <x v="4"/>
    <s v="VEAL LIVER IW"/>
    <x v="27"/>
    <n v="1.6"/>
    <n v="2.3188405797101455"/>
    <x v="0"/>
    <n v="27200"/>
    <n v="38857.142857142862"/>
    <n v="17000"/>
    <s v="KG"/>
    <m/>
    <n v="17000"/>
    <m/>
    <s v="VEAL"/>
    <n v="0"/>
    <m/>
    <m/>
  </r>
  <r>
    <x v="1"/>
    <x v="81"/>
    <e v="#N/A"/>
    <x v="0"/>
    <x v="0"/>
    <m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2"/>
    <e v="#N/A"/>
    <x v="3"/>
    <x v="0"/>
    <s v="SA55045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3"/>
    <e v="#N/A"/>
    <x v="3"/>
    <x v="0"/>
    <s v="SA55046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4"/>
    <e v="#N/A"/>
    <x v="3"/>
    <x v="0"/>
    <s v="SA55047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5"/>
    <e v="#N/A"/>
    <x v="0"/>
    <x v="0"/>
    <n v="508946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6"/>
    <e v="#N/A"/>
    <x v="0"/>
    <x v="0"/>
    <n v="508947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7"/>
    <e v="#N/A"/>
    <x v="0"/>
    <x v="0"/>
    <n v="508948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8"/>
    <e v="#N/A"/>
    <x v="0"/>
    <x v="0"/>
    <n v="508949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9"/>
    <e v="#N/A"/>
    <x v="0"/>
    <x v="0"/>
    <n v="508950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0"/>
    <e v="#N/A"/>
    <x v="0"/>
    <x v="0"/>
    <n v="508951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1"/>
    <e v="#N/A"/>
    <x v="0"/>
    <x v="0"/>
    <n v="508952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2"/>
    <e v="#N/A"/>
    <x v="0"/>
    <x v="0"/>
    <n v="508953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3"/>
    <e v="#N/A"/>
    <x v="0"/>
    <x v="0"/>
    <n v="508954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4"/>
    <e v="#N/A"/>
    <x v="0"/>
    <x v="0"/>
    <n v="508955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5"/>
    <e v="#N/A"/>
    <x v="0"/>
    <x v="0"/>
    <n v="508956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6"/>
    <e v="#N/A"/>
    <x v="0"/>
    <x v="0"/>
    <n v="508957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7"/>
    <e v="#N/A"/>
    <x v="0"/>
    <x v="0"/>
    <n v="508958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8"/>
    <e v="#N/A"/>
    <x v="0"/>
    <x v="0"/>
    <n v="508959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9"/>
    <e v="#N/A"/>
    <x v="0"/>
    <x v="0"/>
    <n v="508960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0"/>
    <e v="#N/A"/>
    <x v="0"/>
    <x v="0"/>
    <n v="508961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1"/>
    <e v="#N/A"/>
    <x v="0"/>
    <x v="0"/>
    <n v="508962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2"/>
    <e v="#N/A"/>
    <x v="0"/>
    <x v="0"/>
    <n v="508963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3"/>
    <e v="#N/A"/>
    <x v="3"/>
    <x v="0"/>
    <m/>
    <s v="7083U"/>
    <x v="0"/>
    <s v="GOAT TRIPE SCALDED"/>
    <x v="29"/>
    <n v="2.4"/>
    <n v="2.4"/>
    <x v="2"/>
    <n v="9600"/>
    <n v="9600"/>
    <n v="4000"/>
    <s v="KG"/>
    <n v="0"/>
    <n v="4000"/>
    <s v="FAS Order, no deposit required"/>
    <s v="GOAT"/>
    <n v="0"/>
    <m/>
    <m/>
  </r>
  <r>
    <x v="1"/>
    <x v="103"/>
    <e v="#N/A"/>
    <x v="3"/>
    <x v="0"/>
    <m/>
    <s v="7050B"/>
    <x v="2"/>
    <s v="SHEEP HEARTS "/>
    <x v="29"/>
    <n v="6.3"/>
    <n v="6.3"/>
    <x v="2"/>
    <n v="6300"/>
    <n v="6300"/>
    <n v="1000"/>
    <s v="KG"/>
    <n v="0"/>
    <n v="1000"/>
    <s v="FAS Order, no deposit required"/>
    <s v="SHEEP"/>
    <n v="0"/>
    <m/>
    <m/>
  </r>
  <r>
    <x v="1"/>
    <x v="103"/>
    <e v="#N/A"/>
    <x v="3"/>
    <x v="0"/>
    <m/>
    <s v="7046U "/>
    <x v="5"/>
    <s v="FROZEN GOAT KIDNEY"/>
    <x v="29"/>
    <n v="4.5999999999999996"/>
    <n v="4.5999999999999996"/>
    <x v="2"/>
    <n v="4600"/>
    <n v="4600"/>
    <n v="1000"/>
    <s v="KG"/>
    <n v="0"/>
    <n v="1000"/>
    <s v="FAS Order, no deposit required"/>
    <s v="OFFAL"/>
    <n v="0"/>
    <m/>
    <m/>
  </r>
  <r>
    <x v="1"/>
    <x v="103"/>
    <e v="#N/A"/>
    <x v="3"/>
    <x v="0"/>
    <m/>
    <s v="7036U"/>
    <x v="0"/>
    <s v="GOAT LIVER IW"/>
    <x v="29"/>
    <n v="2.2999999999999998"/>
    <n v="2.2999999999999998"/>
    <x v="2"/>
    <n v="4600"/>
    <n v="4600"/>
    <n v="2000"/>
    <s v="KG"/>
    <n v="0"/>
    <n v="2000"/>
    <s v="FAS Order, no deposit required"/>
    <s v="GOAT"/>
    <n v="0"/>
    <m/>
    <m/>
  </r>
  <r>
    <x v="1"/>
    <x v="103"/>
    <e v="#N/A"/>
    <x v="3"/>
    <x v="0"/>
    <m/>
    <s v="8005U"/>
    <x v="0"/>
    <s v="GOAT TESTES "/>
    <x v="29"/>
    <n v="7.3"/>
    <n v="7.3"/>
    <x v="2"/>
    <n v="7300"/>
    <n v="7300"/>
    <n v="1000"/>
    <s v="KG"/>
    <n v="0"/>
    <n v="1000"/>
    <s v="FAS Order, no deposit required"/>
    <s v="GOAT"/>
    <n v="0"/>
    <m/>
    <m/>
  </r>
  <r>
    <x v="1"/>
    <x v="104"/>
    <e v="#N/A"/>
    <x v="3"/>
    <x v="0"/>
    <s v="M1-33703-25"/>
    <s v="7082N"/>
    <x v="2"/>
    <s v="SHEEP TRIPE LP"/>
    <x v="30"/>
    <n v="1.5"/>
    <n v="1.5"/>
    <x v="2"/>
    <n v="27000"/>
    <n v="27000"/>
    <n v="18000"/>
    <s v="KG"/>
    <n v="0"/>
    <n v="18000"/>
    <m/>
    <s v="SHEEP"/>
    <n v="0"/>
    <m/>
    <m/>
  </r>
  <r>
    <x v="1"/>
    <x v="105"/>
    <e v="#N/A"/>
    <x v="2"/>
    <x v="0"/>
    <s v="35762P"/>
    <s v="7499M"/>
    <x v="2"/>
    <s v="BONELESS MUTTON FAT"/>
    <x v="31"/>
    <n v="0.95"/>
    <n v="0.95"/>
    <x v="2"/>
    <n v="23750"/>
    <n v="23750"/>
    <n v="25000"/>
    <s v="KG"/>
    <n v="0"/>
    <n v="25000"/>
    <m/>
    <s v="SHEEP"/>
    <n v="0"/>
    <m/>
    <m/>
  </r>
  <r>
    <x v="1"/>
    <x v="106"/>
    <e v="#N/A"/>
    <x v="3"/>
    <x v="0"/>
    <s v="SA58048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7"/>
    <e v="#N/A"/>
    <x v="3"/>
    <x v="0"/>
    <s v="SA58049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8"/>
    <e v="#N/A"/>
    <x v="3"/>
    <x v="0"/>
    <s v="SA58050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9"/>
    <e v="#N/A"/>
    <x v="3"/>
    <x v="0"/>
    <s v="A3623"/>
    <s v="7499E"/>
    <x v="2"/>
    <s v="FROZEN SHEEP CAUL FAT"/>
    <x v="32"/>
    <n v="1"/>
    <n v="1"/>
    <x v="2"/>
    <n v="25000"/>
    <n v="25000"/>
    <n v="25000"/>
    <s v="KG"/>
    <n v="0"/>
    <n v="25000"/>
    <m/>
    <s v="SHEEP"/>
    <n v="0"/>
    <m/>
    <m/>
  </r>
  <r>
    <x v="1"/>
    <x v="33"/>
    <e v="#N/A"/>
    <x v="3"/>
    <x v="0"/>
    <s v="PO11966"/>
    <s v="6532E"/>
    <x v="4"/>
    <s v="VEAL LIVER IW"/>
    <x v="15"/>
    <n v="1.9"/>
    <n v="1.9"/>
    <x v="2"/>
    <n v="28500"/>
    <n v="28500"/>
    <n v="15000"/>
    <s v="KG"/>
    <n v="0"/>
    <n v="15000"/>
    <m/>
    <s v="VEAL"/>
    <n v="0"/>
    <m/>
    <m/>
  </r>
  <r>
    <x v="1"/>
    <x v="110"/>
    <e v="#N/A"/>
    <x v="3"/>
    <x v="0"/>
    <n v="634327"/>
    <s v="7082K"/>
    <x v="2"/>
    <s v="SHEEP TRIPE SCALDED LP"/>
    <x v="15"/>
    <n v="1.5"/>
    <n v="1.5"/>
    <x v="2"/>
    <n v="37500"/>
    <n v="37500"/>
    <n v="25000"/>
    <s v="KG"/>
    <n v="0"/>
    <n v="25000"/>
    <m/>
    <s v="SHEEP"/>
    <n v="0"/>
    <m/>
    <m/>
  </r>
  <r>
    <x v="1"/>
    <x v="111"/>
    <e v="#N/A"/>
    <x v="3"/>
    <x v="0"/>
    <s v="CNL41759"/>
    <s v="6532E"/>
    <x v="4"/>
    <s v="VEAL LIVER IW"/>
    <x v="33"/>
    <n v="2.1"/>
    <n v="2.1"/>
    <x v="2"/>
    <n v="220.5"/>
    <n v="220.5"/>
    <n v="105"/>
    <s v="KG"/>
    <n v="0"/>
    <n v="105"/>
    <m/>
    <s v="VEAL"/>
    <n v="0"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5:G41" firstHeaderRow="0" firstDataRow="1" firstDataCol="4" rowPageCount="2" colPageCount="1"/>
  <pivotFields count="24">
    <pivotField axis="axisPage" multipleItemSelectionAllowed="1" showAll="0">
      <items count="4">
        <item h="1" x="1"/>
        <item x="0"/>
        <item h="1" x="2"/>
        <item t="default"/>
      </items>
    </pivotField>
    <pivotField axis="axisRow" defaultSubtotal="0" outline="0" showAll="0">
      <items count="121"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0"/>
        <item x="1"/>
        <item x="2"/>
        <item x="3"/>
        <item x="4"/>
        <item x="5"/>
        <item x="72"/>
        <item x="6"/>
        <item x="7"/>
        <item x="73"/>
        <item x="74"/>
        <item x="75"/>
        <item x="8"/>
        <item m="1" x="119"/>
        <item x="76"/>
        <item x="77"/>
        <item x="78"/>
        <item x="79"/>
        <item x="10"/>
        <item x="11"/>
        <item x="12"/>
        <item x="13"/>
        <item x="14"/>
        <item x="15"/>
        <item x="16"/>
        <item x="17"/>
        <item x="9"/>
        <item x="18"/>
        <item x="19"/>
        <item x="20"/>
        <item m="1" x="116"/>
        <item x="21"/>
        <item x="22"/>
        <item x="23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26"/>
        <item x="27"/>
        <item x="28"/>
        <item x="103"/>
        <item x="104"/>
        <item x="29"/>
        <item x="30"/>
        <item x="31"/>
        <item x="105"/>
        <item x="32"/>
        <item x="106"/>
        <item x="107"/>
        <item x="108"/>
        <item x="109"/>
        <item x="33"/>
        <item m="1" x="115"/>
        <item x="110"/>
        <item x="34"/>
        <item x="35"/>
        <item x="36"/>
        <item x="37"/>
        <item x="38"/>
        <item x="39"/>
        <item x="40"/>
        <item m="1" x="117"/>
        <item m="1" x="120"/>
        <item m="1" x="113"/>
        <item x="41"/>
        <item m="1" x="118"/>
        <item x="42"/>
        <item m="1" x="114"/>
        <item x="43"/>
        <item x="44"/>
        <item x="111"/>
        <item x="45"/>
        <item x="112"/>
        <item x="46"/>
        <item x="47"/>
        <item x="48"/>
        <item x="49"/>
        <item x="50"/>
        <item x="51"/>
        <item x="24"/>
        <item x="25"/>
        <item x="52"/>
      </items>
    </pivotField>
    <pivotField showAll="0"/>
    <pivotField axis="axisPage" multipleItemSelectionAllowed="1" showAll="0">
      <items count="5">
        <item x="2"/>
        <item h="1" x="3"/>
        <item h="1"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Row" defaultSubtotal="0" outline="0" multipleItemSelectionAllowed="1" showAll="0">
      <items count="7">
        <item x="0"/>
        <item x="1"/>
        <item x="3"/>
        <item h="1" x="5"/>
        <item x="2"/>
        <item x="4"/>
        <item h="1" x="6"/>
      </items>
    </pivotField>
    <pivotField showAll="0"/>
    <pivotField axis="axisRow" defaultSubtotal="0" outline="0" showAll="0">
      <items count="37">
        <item x="15"/>
        <item x="2"/>
        <item x="29"/>
        <item x="31"/>
        <item m="1" x="36"/>
        <item x="23"/>
        <item x="3"/>
        <item x="0"/>
        <item x="11"/>
        <item x="10"/>
        <item x="26"/>
        <item x="20"/>
        <item x="30"/>
        <item x="17"/>
        <item x="6"/>
        <item x="19"/>
        <item x="21"/>
        <item x="32"/>
        <item x="27"/>
        <item x="25"/>
        <item x="1"/>
        <item x="4"/>
        <item x="5"/>
        <item x="28"/>
        <item x="9"/>
        <item x="12"/>
        <item x="13"/>
        <item x="14"/>
        <item x="22"/>
        <item x="8"/>
        <item m="1" x="35"/>
        <item x="33"/>
        <item x="24"/>
        <item x="7"/>
        <item x="34"/>
        <item x="16"/>
        <item x="18"/>
      </items>
    </pivotField>
    <pivotField showAll="0"/>
    <pivotField dataField="1" showAll="0"/>
    <pivotField showAll="0"/>
    <pivotField numFmtId="176" showAll="0"/>
    <pivotField dataField="1" numFmtId="176" showAll="0"/>
    <pivotField dataField="1"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</pivotFields>
  <rowFields count="4">
    <field x="1"/>
    <field x="9"/>
    <field x="7"/>
    <field x="4"/>
  </rowFields>
  <rowItems count="36">
    <i>
      <x v="39"/>
      <x v="29"/>
      <x v="4"/>
      <x v="2"/>
    </i>
    <i>
      <x v="40"/>
      <x v="24"/>
      <x v="4"/>
      <x/>
    </i>
    <i>
      <x v="41"/>
      <x v="24"/>
      <x v="4"/>
      <x/>
    </i>
    <i>
      <x v="42"/>
      <x v="9"/>
      <x v="4"/>
      <x/>
    </i>
    <i>
      <x v="43"/>
      <x v="9"/>
      <x v="4"/>
      <x/>
    </i>
    <i>
      <x v="44"/>
      <x v="9"/>
      <x v="4"/>
      <x/>
    </i>
    <i>
      <x v="45"/>
      <x v="14"/>
      <x v="2"/>
      <x v="1"/>
    </i>
    <i>
      <x v="46"/>
      <x v="8"/>
      <x/>
      <x/>
    </i>
    <i>
      <x v="47"/>
      <x v="8"/>
      <x/>
      <x/>
    </i>
    <i>
      <x v="48"/>
      <x v="25"/>
      <x/>
      <x/>
    </i>
    <i>
      <x v="50"/>
      <x v="8"/>
      <x/>
      <x/>
    </i>
    <i>
      <x v="51"/>
      <x v="25"/>
      <x v="4"/>
      <x/>
    </i>
    <i>
      <x v="52"/>
      <x v="25"/>
      <x v="4"/>
      <x/>
    </i>
    <i>
      <x v="85"/>
      <x v="27"/>
      <x/>
      <x/>
    </i>
    <i>
      <x v="93"/>
      <x/>
      <x v="5"/>
      <x/>
    </i>
    <i>
      <x v="94"/>
      <x/>
      <x v="5"/>
      <x/>
    </i>
    <i>
      <x v="95"/>
      <x/>
      <x v="5"/>
      <x/>
    </i>
    <i>
      <x v="96"/>
      <x/>
      <x v="5"/>
      <x/>
    </i>
    <i>
      <x v="97"/>
      <x/>
      <x v="5"/>
      <x/>
    </i>
    <i>
      <x v="98"/>
      <x/>
      <x v="5"/>
      <x/>
    </i>
    <i>
      <x v="99"/>
      <x/>
      <x v="5"/>
      <x/>
    </i>
    <i>
      <x v="103"/>
      <x v="26"/>
      <x/>
      <x/>
    </i>
    <i>
      <x v="105"/>
      <x/>
      <x v="1"/>
      <x v="3"/>
    </i>
    <i>
      <x v="107"/>
      <x v="26"/>
      <x v="1"/>
      <x/>
    </i>
    <i>
      <x v="108"/>
      <x v="26"/>
      <x v="1"/>
      <x/>
    </i>
    <i>
      <x v="110"/>
      <x/>
      <x/>
      <x/>
    </i>
    <i>
      <x v="112"/>
      <x v="35"/>
      <x v="5"/>
      <x/>
    </i>
    <i>
      <x v="113"/>
      <x v="35"/>
      <x v="5"/>
      <x/>
    </i>
    <i>
      <x v="114"/>
      <x v="13"/>
      <x/>
      <x/>
    </i>
    <i>
      <x v="115"/>
      <x v="36"/>
      <x v="1"/>
      <x v="3"/>
    </i>
    <i>
      <x v="116"/>
      <x v="13"/>
      <x/>
      <x/>
    </i>
    <i>
      <x v="117"/>
      <x v="13"/>
      <x/>
      <x/>
    </i>
    <i>
      <x v="118"/>
      <x v="8"/>
      <x/>
      <x/>
    </i>
    <i>
      <x v="119"/>
      <x v="8"/>
      <x/>
      <x/>
    </i>
    <i>
      <x v="120"/>
      <x v="13"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/>
    <pageField fld="3"/>
  </pageFields>
  <dataFields count="3">
    <dataField name="Sum of Total QTY" fld="15" baseField="0" baseItem="0" numFmtId="176"/>
    <dataField name="Average of Price AUD" fld="11" subtotal="average" baseField="7" baseItem="0" numFmtId="2"/>
    <dataField name="Sum of Amount AUD" fld="14" baseField="0" baseItem="0" numFmtId="176"/>
  </dataFields>
  <formats count="4">
    <format dxfId="0">
      <pivotArea field="1" type="button" dataOnly="0" labelOnly="1" outline="0" fieldPosition="0"/>
    </format>
    <format dxfId="1">
      <pivotArea field="9" type="button" dataOnly="0" labelOnly="1" outline="0" fieldPosition="0"/>
    </format>
    <format dxfId="2">
      <pivotArea field="7" type="button" dataOnly="0" labelOnly="1" outline="0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>
    <pageSetUpPr fitToPage="1"/>
  </sheetPr>
  <dimension ref="A1:AM53"/>
  <sheetViews>
    <sheetView view="pageBreakPreview" zoomScale="60" zoomScaleNormal="100" topLeftCell="B1" workbookViewId="0">
      <pane ySplit="4" topLeftCell="A16" activePane="bottomLeft" state="frozen"/>
      <selection/>
      <selection pane="bottomLeft" activeCell="C47" sqref="C47"/>
    </sheetView>
  </sheetViews>
  <sheetFormatPr defaultColWidth="9" defaultRowHeight="14.4"/>
  <cols>
    <col min="1" max="1" width="4" style="40" customWidth="1"/>
    <col min="2" max="2" width="16.5740740740741" customWidth="1"/>
    <col min="3" max="3" width="32.287037037037" customWidth="1"/>
    <col min="5" max="5" width="15.5740740740741" customWidth="1"/>
    <col min="6" max="6" width="18" customWidth="1"/>
    <col min="7" max="7" width="7.57407407407407" customWidth="1"/>
    <col min="8" max="8" width="19.287037037037" customWidth="1"/>
    <col min="9" max="9" width="14.712962962963" style="1" customWidth="1"/>
    <col min="10" max="10" width="5.28703703703704" style="1" customWidth="1"/>
    <col min="11" max="11" width="7.57407407407407" style="1" customWidth="1"/>
    <col min="12" max="12" width="14.287037037037" style="1" customWidth="1"/>
    <col min="13" max="15" width="9.71296296296296" style="1" customWidth="1"/>
    <col min="16" max="16" width="12.712962962963" style="1" customWidth="1"/>
    <col min="17" max="17" width="9.71296296296296" style="1" customWidth="1"/>
    <col min="18" max="18" width="17.712962962963" style="74" customWidth="1"/>
    <col min="19" max="19" width="19.287037037037" style="40" customWidth="1"/>
    <col min="20" max="20" width="11.287037037037" style="40" customWidth="1"/>
    <col min="21" max="21" width="16.712962962963" style="41" customWidth="1"/>
    <col min="22" max="22" width="13.4259259259259" style="41" customWidth="1"/>
    <col min="23" max="23" width="13" style="40" customWidth="1"/>
    <col min="24" max="39" width="8.71296296296296" style="40"/>
  </cols>
  <sheetData>
    <row r="1" s="40" customFormat="1" ht="15.15" spans="2:23">
      <c r="I1" s="41"/>
      <c r="J1" s="41"/>
      <c r="K1" s="41"/>
      <c r="L1" s="41"/>
      <c r="M1" s="41"/>
      <c r="N1" s="41"/>
      <c r="O1" s="41"/>
      <c r="P1" s="41"/>
      <c r="Q1" s="41"/>
      <c r="R1" s="75"/>
      <c r="U1" s="41"/>
      <c r="V1" s="41"/>
    </row>
    <row r="2" s="40" customFormat="1" ht="15.15" spans="2:23">
      <c r="B2" s="112" t="s">
        <v>0</v>
      </c>
      <c r="C2" s="113"/>
      <c r="D2" s="113"/>
      <c r="E2" s="113"/>
      <c r="F2" s="113"/>
      <c r="G2" s="113"/>
      <c r="H2" s="114"/>
      <c r="I2" s="115" t="s">
        <v>1</v>
      </c>
      <c r="J2" s="116"/>
      <c r="K2" s="41"/>
      <c r="L2" s="117" t="s">
        <v>2</v>
      </c>
      <c r="M2" s="41"/>
      <c r="N2"/>
      <c r="O2" s="41"/>
      <c r="P2" s="117" t="s">
        <v>2</v>
      </c>
      <c r="Q2" s="41"/>
      <c r="R2" s="75"/>
      <c r="U2" s="41"/>
      <c r="V2" s="41"/>
    </row>
    <row r="3" s="40" customFormat="1" ht="15.15" spans="2:23">
      <c r="I3" s="41"/>
      <c r="J3" s="41"/>
      <c r="K3" s="41"/>
      <c r="L3" s="41"/>
      <c r="M3" s="41"/>
      <c r="N3" s="41"/>
      <c r="O3" s="41"/>
      <c r="P3" s="41"/>
      <c r="Q3" s="41"/>
      <c r="R3" s="75"/>
      <c r="U3" s="41"/>
      <c r="V3" s="41"/>
    </row>
    <row r="4" ht="45" customHeight="1" spans="2:23">
      <c r="B4" s="80" t="s">
        <v>3</v>
      </c>
      <c r="C4" s="80" t="s">
        <v>4</v>
      </c>
      <c r="D4" s="80" t="s">
        <v>5</v>
      </c>
      <c r="E4" s="81" t="s">
        <v>6</v>
      </c>
      <c r="F4" s="80" t="s">
        <v>7</v>
      </c>
      <c r="G4" s="80" t="s">
        <v>8</v>
      </c>
      <c r="H4" s="80" t="s">
        <v>9</v>
      </c>
      <c r="I4" s="82" t="s">
        <v>10</v>
      </c>
      <c r="J4" s="14" t="s">
        <v>11</v>
      </c>
      <c r="K4" s="14" t="s">
        <v>12</v>
      </c>
      <c r="L4" s="82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83" t="s">
        <v>19</v>
      </c>
      <c r="S4" s="14" t="s">
        <v>20</v>
      </c>
      <c r="T4" s="84" t="s">
        <v>21</v>
      </c>
      <c r="U4" s="85" t="s">
        <v>22</v>
      </c>
      <c r="V4" s="85" t="s">
        <v>23</v>
      </c>
    </row>
    <row r="5" spans="2:23">
      <c r="B5" s="103" t="s">
        <v>24</v>
      </c>
      <c r="C5" s="104" t="s">
        <v>25</v>
      </c>
      <c r="D5" s="16" t="s">
        <v>26</v>
      </c>
      <c r="E5" s="104" t="s">
        <v>27</v>
      </c>
      <c r="F5" s="18">
        <v>25000</v>
      </c>
      <c r="G5" s="19">
        <v>10.1449275362319</v>
      </c>
      <c r="H5" s="18">
        <v>250000</v>
      </c>
      <c r="I5" s="16" t="s">
        <v>28</v>
      </c>
      <c r="J5" s="16" t="s">
        <v>29</v>
      </c>
      <c r="K5" s="90">
        <f t="shared" ref="K5:K29" si="0">IF(J5="CIF",G5-0.3,G5)</f>
        <v>9.84492753623188</v>
      </c>
      <c r="L5" s="106">
        <v>8.4</v>
      </c>
      <c r="M5" s="90">
        <f>_xlfn.IFNA(VLOOKUP(I5,Inputs!D:E,2,FALSE),0)</f>
        <v>4</v>
      </c>
      <c r="N5" s="90">
        <f>_xlfn.IFNA(VLOOKUP(D5,Inputs!G:H,2,FALSE),0)</f>
        <v>8</v>
      </c>
      <c r="O5" s="90">
        <f>_xlfn.IFNA(VLOOKUP(D5,Inputs!K:L,2,FALSE),0)</f>
        <v>10</v>
      </c>
      <c r="P5" s="107">
        <v>22</v>
      </c>
      <c r="Q5" s="90">
        <f t="shared" ref="Q5:Q25" si="1">IF(P5&gt;0,(K5-L5)*P5+N5+O5-M5,0)</f>
        <v>45.7884057971014</v>
      </c>
      <c r="R5" s="74">
        <f>197005.8/2</f>
        <v>98502.9</v>
      </c>
      <c r="S5" s="108"/>
      <c r="T5" s="109">
        <f>IF(P5&gt;0,(K5)-((40+M5-O5-N5)/P5),0)</f>
        <v>8.6631093544137</v>
      </c>
      <c r="U5" s="94">
        <f t="shared" ref="U5:U25" si="2">IF(P5&gt;0,(F5/P5),0)</f>
        <v>1136.36363636364</v>
      </c>
      <c r="V5" s="95">
        <f t="shared" ref="V5:V25" si="3">(L5*F5)</f>
        <v>210000</v>
      </c>
      <c r="W5" s="110"/>
    </row>
    <row r="6" spans="2:23">
      <c r="B6" s="103" t="s">
        <v>30</v>
      </c>
      <c r="C6" s="104" t="s">
        <v>25</v>
      </c>
      <c r="D6" s="16" t="s">
        <v>26</v>
      </c>
      <c r="E6" s="104" t="s">
        <v>27</v>
      </c>
      <c r="F6" s="18">
        <v>25000</v>
      </c>
      <c r="G6" s="19">
        <v>10.1449275362319</v>
      </c>
      <c r="H6" s="18">
        <v>250000</v>
      </c>
      <c r="I6" s="16" t="s">
        <v>28</v>
      </c>
      <c r="J6" s="16" t="s">
        <v>29</v>
      </c>
      <c r="K6" s="90">
        <f t="shared" si="0"/>
        <v>9.84492753623188</v>
      </c>
      <c r="L6" s="106">
        <v>8.4</v>
      </c>
      <c r="M6" s="90">
        <f>_xlfn.IFNA(VLOOKUP(I6,Inputs!D:E,2,FALSE),0)</f>
        <v>4</v>
      </c>
      <c r="N6" s="90">
        <f>_xlfn.IFNA(VLOOKUP(D6,Inputs!G:H,2,FALSE),0)</f>
        <v>8</v>
      </c>
      <c r="O6" s="90">
        <f>_xlfn.IFNA(VLOOKUP(D6,Inputs!K:L,2,FALSE),0)</f>
        <v>10</v>
      </c>
      <c r="P6" s="107">
        <v>22</v>
      </c>
      <c r="Q6" s="90">
        <f t="shared" si="1"/>
        <v>45.7884057971014</v>
      </c>
      <c r="R6" s="74">
        <f t="shared" ref="R6" si="4">197005.8/2</f>
        <v>98502.9</v>
      </c>
      <c r="S6" s="108"/>
      <c r="T6" s="109">
        <f t="shared" ref="T6:T28" si="5">IF(P6&gt;0,(K6)-((40+M6-O6-N6)/P6),0)</f>
        <v>8.6631093544137</v>
      </c>
      <c r="U6" s="94">
        <f t="shared" si="2"/>
        <v>1136.36363636364</v>
      </c>
      <c r="V6" s="95">
        <f t="shared" si="3"/>
        <v>210000</v>
      </c>
    </row>
    <row r="7" spans="2:23">
      <c r="B7" s="103" t="s">
        <v>31</v>
      </c>
      <c r="C7" s="104" t="s">
        <v>32</v>
      </c>
      <c r="D7" s="16" t="s">
        <v>26</v>
      </c>
      <c r="E7" s="104" t="s">
        <v>27</v>
      </c>
      <c r="F7" s="18">
        <v>22000</v>
      </c>
      <c r="G7" s="19">
        <v>9.71014492753623</v>
      </c>
      <c r="H7" s="18">
        <v>210571.428571429</v>
      </c>
      <c r="I7" s="16" t="s">
        <v>28</v>
      </c>
      <c r="J7" s="16" t="s">
        <v>29</v>
      </c>
      <c r="K7" s="90">
        <f t="shared" si="0"/>
        <v>9.41014492753623</v>
      </c>
      <c r="L7" s="106">
        <v>8.4</v>
      </c>
      <c r="M7" s="90">
        <f>_xlfn.IFNA(VLOOKUP(I7,Inputs!D:E,2,FALSE),0)</f>
        <v>4</v>
      </c>
      <c r="N7" s="90">
        <f>_xlfn.IFNA(VLOOKUP(D7,Inputs!G:H,2,FALSE),0)</f>
        <v>8</v>
      </c>
      <c r="O7" s="90">
        <f>_xlfn.IFNA(VLOOKUP(D7,Inputs!K:L,2,FALSE),0)</f>
        <v>10</v>
      </c>
      <c r="P7" s="107">
        <v>28</v>
      </c>
      <c r="Q7" s="90">
        <f t="shared" si="1"/>
        <v>42.2840579710145</v>
      </c>
      <c r="S7" s="108"/>
      <c r="T7" s="109">
        <f t="shared" si="5"/>
        <v>8.4815734989648</v>
      </c>
      <c r="U7" s="94">
        <f t="shared" si="2"/>
        <v>785.714285714286</v>
      </c>
      <c r="V7" s="95">
        <f t="shared" si="3"/>
        <v>184800</v>
      </c>
    </row>
    <row r="8" spans="2:23">
      <c r="B8" s="103" t="s">
        <v>33</v>
      </c>
      <c r="C8" s="104" t="s">
        <v>32</v>
      </c>
      <c r="D8" s="16" t="s">
        <v>26</v>
      </c>
      <c r="E8" s="104" t="s">
        <v>27</v>
      </c>
      <c r="F8" s="18">
        <v>25000</v>
      </c>
      <c r="G8" s="19">
        <v>10.0724637681159</v>
      </c>
      <c r="H8" s="18">
        <v>248214.285714286</v>
      </c>
      <c r="I8" s="16" t="s">
        <v>28</v>
      </c>
      <c r="J8" s="16" t="s">
        <v>29</v>
      </c>
      <c r="K8" s="90">
        <f t="shared" si="0"/>
        <v>9.77246376811594</v>
      </c>
      <c r="L8" s="106">
        <v>8.4</v>
      </c>
      <c r="M8" s="90">
        <f>_xlfn.IFNA(VLOOKUP(I8,Inputs!D:E,2,FALSE),0)</f>
        <v>4</v>
      </c>
      <c r="N8" s="90">
        <f>_xlfn.IFNA(VLOOKUP(D8,Inputs!G:H,2,FALSE),0)</f>
        <v>8</v>
      </c>
      <c r="O8" s="90">
        <f>_xlfn.IFNA(VLOOKUP(D8,Inputs!K:L,2,FALSE),0)</f>
        <v>10</v>
      </c>
      <c r="P8" s="107">
        <v>22</v>
      </c>
      <c r="Q8" s="90">
        <f t="shared" si="1"/>
        <v>44.1942028985507</v>
      </c>
      <c r="S8" s="108"/>
      <c r="T8" s="109">
        <f t="shared" si="5"/>
        <v>8.59064558629776</v>
      </c>
      <c r="U8" s="94">
        <f t="shared" si="2"/>
        <v>1136.36363636364</v>
      </c>
      <c r="V8" s="95">
        <f t="shared" si="3"/>
        <v>210000</v>
      </c>
    </row>
    <row r="9" ht="15.6" hidden="1" customHeight="1" spans="2:23">
      <c r="B9" s="103" t="s">
        <v>34</v>
      </c>
      <c r="C9" s="104" t="s">
        <v>35</v>
      </c>
      <c r="D9" s="16" t="s">
        <v>36</v>
      </c>
      <c r="E9" s="104" t="s">
        <v>27</v>
      </c>
      <c r="F9" s="18">
        <v>24999</v>
      </c>
      <c r="G9" s="19">
        <v>10</v>
      </c>
      <c r="H9" s="18">
        <v>246418.714285714</v>
      </c>
      <c r="I9" s="16" t="s">
        <v>28</v>
      </c>
      <c r="J9" s="16" t="s">
        <v>29</v>
      </c>
      <c r="K9" s="90">
        <f t="shared" si="0"/>
        <v>9.7</v>
      </c>
      <c r="L9" s="106">
        <v>7.7</v>
      </c>
      <c r="M9" s="90">
        <f>_xlfn.IFNA(VLOOKUP(I9,Inputs!D:E,2,FALSE),0)</f>
        <v>4</v>
      </c>
      <c r="N9" s="90">
        <f>_xlfn.IFNA(VLOOKUP(D9,Inputs!G:H,2,FALSE),0)</f>
        <v>6</v>
      </c>
      <c r="O9" s="90">
        <v>0.5</v>
      </c>
      <c r="P9" s="107">
        <v>14</v>
      </c>
      <c r="Q9" s="90">
        <f t="shared" si="1"/>
        <v>30.5</v>
      </c>
      <c r="R9" s="74">
        <f>240755.99/2</f>
        <v>120377.995</v>
      </c>
      <c r="S9" s="108"/>
      <c r="T9" s="109">
        <f t="shared" si="5"/>
        <v>7.02142857142857</v>
      </c>
      <c r="U9" s="94">
        <f t="shared" si="2"/>
        <v>1785.64285714286</v>
      </c>
      <c r="V9" s="95">
        <f t="shared" si="3"/>
        <v>192492.3</v>
      </c>
    </row>
    <row r="10" ht="15.6" hidden="1" customHeight="1" spans="2:23">
      <c r="B10" s="103" t="s">
        <v>37</v>
      </c>
      <c r="C10" s="104" t="s">
        <v>35</v>
      </c>
      <c r="D10" s="16" t="s">
        <v>36</v>
      </c>
      <c r="E10" s="104" t="s">
        <v>27</v>
      </c>
      <c r="F10" s="18">
        <v>24999</v>
      </c>
      <c r="G10" s="19">
        <v>10</v>
      </c>
      <c r="H10" s="18">
        <v>246418.714285714</v>
      </c>
      <c r="I10" s="16" t="s">
        <v>28</v>
      </c>
      <c r="J10" s="16" t="s">
        <v>29</v>
      </c>
      <c r="K10" s="90">
        <f t="shared" si="0"/>
        <v>9.7</v>
      </c>
      <c r="L10" s="106">
        <v>7.7</v>
      </c>
      <c r="M10" s="90">
        <f>_xlfn.IFNA(VLOOKUP(I10,Inputs!D:E,2,FALSE),0)</f>
        <v>4</v>
      </c>
      <c r="N10" s="90">
        <f>_xlfn.IFNA(VLOOKUP(D10,Inputs!G:H,2,FALSE),0)</f>
        <v>6</v>
      </c>
      <c r="O10" s="90">
        <v>0.5</v>
      </c>
      <c r="P10" s="107">
        <v>14</v>
      </c>
      <c r="Q10" s="90">
        <f t="shared" si="1"/>
        <v>30.5</v>
      </c>
      <c r="R10" s="74">
        <f t="shared" ref="R10" si="6">240755.99/2</f>
        <v>120377.995</v>
      </c>
      <c r="S10" s="108"/>
      <c r="T10" s="109">
        <f t="shared" si="5"/>
        <v>7.02142857142857</v>
      </c>
      <c r="U10" s="94">
        <f t="shared" si="2"/>
        <v>1785.64285714286</v>
      </c>
      <c r="V10" s="95">
        <f t="shared" si="3"/>
        <v>192492.3</v>
      </c>
    </row>
    <row r="11" ht="15.6" hidden="1" customHeight="1" spans="2:23">
      <c r="B11" s="103" t="s">
        <v>38</v>
      </c>
      <c r="C11" s="104" t="s">
        <v>39</v>
      </c>
      <c r="D11" s="16" t="s">
        <v>36</v>
      </c>
      <c r="E11" s="104" t="s">
        <v>27</v>
      </c>
      <c r="F11" s="18">
        <v>24999</v>
      </c>
      <c r="G11" s="19">
        <v>10</v>
      </c>
      <c r="H11" s="18">
        <v>246418.714285714</v>
      </c>
      <c r="I11" s="16" t="s">
        <v>28</v>
      </c>
      <c r="J11" s="16" t="s">
        <v>29</v>
      </c>
      <c r="K11" s="90">
        <f t="shared" si="0"/>
        <v>9.7</v>
      </c>
      <c r="L11" s="106">
        <v>7.7</v>
      </c>
      <c r="M11" s="90">
        <f>_xlfn.IFNA(VLOOKUP(I11,Inputs!D:E,2,FALSE),0)</f>
        <v>4</v>
      </c>
      <c r="N11" s="90">
        <f>_xlfn.IFNA(VLOOKUP(D11,Inputs!G:H,2,FALSE),0)</f>
        <v>6</v>
      </c>
      <c r="O11" s="90">
        <v>0.5</v>
      </c>
      <c r="P11" s="107">
        <v>14</v>
      </c>
      <c r="Q11" s="90">
        <f t="shared" si="1"/>
        <v>30.5</v>
      </c>
      <c r="R11" s="74">
        <v>72124.63</v>
      </c>
      <c r="S11" s="108"/>
      <c r="T11" s="109">
        <f t="shared" si="5"/>
        <v>7.02142857142857</v>
      </c>
      <c r="U11" s="94">
        <f t="shared" si="2"/>
        <v>1785.64285714286</v>
      </c>
      <c r="V11" s="95">
        <f t="shared" si="3"/>
        <v>192492.3</v>
      </c>
    </row>
    <row r="12" ht="15.6" hidden="1" customHeight="1" spans="2:23">
      <c r="B12" s="103" t="s">
        <v>40</v>
      </c>
      <c r="C12" s="104" t="s">
        <v>35</v>
      </c>
      <c r="D12" s="16" t="s">
        <v>36</v>
      </c>
      <c r="E12" s="104" t="s">
        <v>27</v>
      </c>
      <c r="F12" s="18">
        <v>17000</v>
      </c>
      <c r="G12" s="19">
        <v>10.2898550724638</v>
      </c>
      <c r="H12" s="18">
        <v>172428.571428571</v>
      </c>
      <c r="I12" s="16" t="s">
        <v>41</v>
      </c>
      <c r="J12" s="16" t="s">
        <v>29</v>
      </c>
      <c r="K12" s="90">
        <f t="shared" si="0"/>
        <v>9.98985507246377</v>
      </c>
      <c r="L12" s="106">
        <v>7.7</v>
      </c>
      <c r="M12" s="90">
        <f>_xlfn.IFNA(VLOOKUP(I12,Inputs!D:E,2,FALSE),0)</f>
        <v>2</v>
      </c>
      <c r="N12" s="90">
        <f>_xlfn.IFNA(VLOOKUP(D12,Inputs!G:H,2,FALSE),0)</f>
        <v>6</v>
      </c>
      <c r="O12" s="90">
        <v>0.5</v>
      </c>
      <c r="P12" s="107">
        <v>10</v>
      </c>
      <c r="Q12" s="90">
        <f t="shared" si="1"/>
        <v>27.3985507246377</v>
      </c>
      <c r="R12" s="74">
        <v>171364.63</v>
      </c>
      <c r="S12" s="118" t="s">
        <v>42</v>
      </c>
      <c r="T12" s="109">
        <f t="shared" si="5"/>
        <v>6.43985507246377</v>
      </c>
      <c r="U12" s="94">
        <f t="shared" si="2"/>
        <v>1700</v>
      </c>
      <c r="V12" s="95">
        <f t="shared" si="3"/>
        <v>130900</v>
      </c>
    </row>
    <row r="13" spans="2:23">
      <c r="B13" s="103" t="s">
        <v>43</v>
      </c>
      <c r="C13" s="104" t="s">
        <v>39</v>
      </c>
      <c r="D13" s="16" t="s">
        <v>26</v>
      </c>
      <c r="E13" s="104" t="s">
        <v>27</v>
      </c>
      <c r="F13" s="18">
        <v>25000</v>
      </c>
      <c r="G13" s="19">
        <v>9.85507246376812</v>
      </c>
      <c r="H13" s="18">
        <v>242857.142857143</v>
      </c>
      <c r="I13" s="16" t="s">
        <v>28</v>
      </c>
      <c r="J13" s="16" t="s">
        <v>29</v>
      </c>
      <c r="K13" s="90">
        <f t="shared" si="0"/>
        <v>9.55507246376812</v>
      </c>
      <c r="L13" s="106">
        <v>8.4</v>
      </c>
      <c r="M13" s="90">
        <f>_xlfn.IFNA(VLOOKUP(I13,Inputs!D:E,2,FALSE),0)</f>
        <v>4</v>
      </c>
      <c r="N13" s="90">
        <f>_xlfn.IFNA(VLOOKUP(D13,Inputs!G:H,2,FALSE),0)</f>
        <v>8</v>
      </c>
      <c r="O13" s="90">
        <f>_xlfn.IFNA(VLOOKUP(D13,Inputs!K:L,2,FALSE),0)</f>
        <v>10</v>
      </c>
      <c r="P13" s="107">
        <v>27</v>
      </c>
      <c r="Q13" s="90">
        <f t="shared" si="1"/>
        <v>45.1869565217391</v>
      </c>
      <c r="R13" s="74">
        <f>(93840/0.6963)/2</f>
        <v>67384.7479534683</v>
      </c>
      <c r="S13" s="108"/>
      <c r="T13" s="109">
        <f t="shared" si="5"/>
        <v>8.59210950080515</v>
      </c>
      <c r="U13" s="94">
        <f t="shared" si="2"/>
        <v>925.925925925926</v>
      </c>
      <c r="V13" s="95">
        <f t="shared" si="3"/>
        <v>210000</v>
      </c>
    </row>
    <row r="14" spans="2:23">
      <c r="B14" s="103" t="s">
        <v>44</v>
      </c>
      <c r="C14" s="104" t="s">
        <v>39</v>
      </c>
      <c r="D14" s="16" t="s">
        <v>26</v>
      </c>
      <c r="E14" s="104" t="s">
        <v>27</v>
      </c>
      <c r="F14" s="18">
        <v>25000</v>
      </c>
      <c r="G14" s="19">
        <v>9.85507246376812</v>
      </c>
      <c r="H14" s="18">
        <v>242857.142857143</v>
      </c>
      <c r="I14" s="16" t="s">
        <v>28</v>
      </c>
      <c r="J14" s="16" t="s">
        <v>29</v>
      </c>
      <c r="K14" s="90">
        <f t="shared" si="0"/>
        <v>9.55507246376812</v>
      </c>
      <c r="L14" s="106">
        <v>8.4</v>
      </c>
      <c r="M14" s="90">
        <f>_xlfn.IFNA(VLOOKUP(I14,Inputs!D:E,2,FALSE),0)</f>
        <v>4</v>
      </c>
      <c r="N14" s="90">
        <f>_xlfn.IFNA(VLOOKUP(D14,Inputs!G:H,2,FALSE),0)</f>
        <v>8</v>
      </c>
      <c r="O14" s="90">
        <f>_xlfn.IFNA(VLOOKUP(D14,Inputs!K:L,2,FALSE),0)</f>
        <v>10</v>
      </c>
      <c r="P14" s="107">
        <v>27</v>
      </c>
      <c r="Q14" s="90">
        <f t="shared" si="1"/>
        <v>45.1869565217391</v>
      </c>
      <c r="R14" s="74">
        <f t="shared" ref="R14" si="7">(93840/0.6963)/2</f>
        <v>67384.7479534683</v>
      </c>
      <c r="S14" s="119"/>
      <c r="T14" s="109">
        <f t="shared" si="5"/>
        <v>8.59210950080515</v>
      </c>
      <c r="U14" s="94">
        <f t="shared" si="2"/>
        <v>925.925925925926</v>
      </c>
      <c r="V14" s="95">
        <f t="shared" si="3"/>
        <v>210000</v>
      </c>
    </row>
    <row r="15" spans="2:23">
      <c r="B15" s="103" t="s">
        <v>45</v>
      </c>
      <c r="C15" s="104" t="s">
        <v>46</v>
      </c>
      <c r="D15" s="16" t="s">
        <v>47</v>
      </c>
      <c r="E15" s="104" t="s">
        <v>27</v>
      </c>
      <c r="F15" s="18">
        <v>25000</v>
      </c>
      <c r="G15" s="19">
        <v>6.85</v>
      </c>
      <c r="H15" s="18">
        <v>171250</v>
      </c>
      <c r="I15" s="16" t="s">
        <v>28</v>
      </c>
      <c r="J15" s="16" t="s">
        <v>48</v>
      </c>
      <c r="K15" s="90">
        <f t="shared" si="0"/>
        <v>6.85</v>
      </c>
      <c r="L15" s="106">
        <v>3.2</v>
      </c>
      <c r="M15" s="90">
        <f>_xlfn.IFNA(VLOOKUP(I15,Inputs!D:E,2,FALSE),0)</f>
        <v>4</v>
      </c>
      <c r="N15" s="90">
        <f>_xlfn.IFNA(VLOOKUP(D15,Inputs!G:H,2,FALSE),0)</f>
        <v>11</v>
      </c>
      <c r="O15" s="90">
        <f>_xlfn.IFNA(VLOOKUP(D15,Inputs!K:L,2,FALSE),0)</f>
        <v>12</v>
      </c>
      <c r="P15" s="107">
        <v>17</v>
      </c>
      <c r="Q15" s="90">
        <f t="shared" si="1"/>
        <v>81.05</v>
      </c>
      <c r="R15" s="74">
        <v>166300.88</v>
      </c>
      <c r="S15" s="108"/>
      <c r="T15" s="109">
        <f t="shared" si="5"/>
        <v>5.61470588235294</v>
      </c>
      <c r="U15" s="94">
        <f t="shared" si="2"/>
        <v>1470.58823529412</v>
      </c>
      <c r="V15" s="95">
        <f t="shared" si="3"/>
        <v>80000</v>
      </c>
    </row>
    <row r="16" spans="2:23">
      <c r="B16" s="103" t="s">
        <v>49</v>
      </c>
      <c r="C16" s="104" t="s">
        <v>46</v>
      </c>
      <c r="D16" s="16" t="s">
        <v>47</v>
      </c>
      <c r="E16" s="104" t="s">
        <v>27</v>
      </c>
      <c r="F16" s="18">
        <v>25000</v>
      </c>
      <c r="G16" s="19">
        <v>6.85</v>
      </c>
      <c r="H16" s="18">
        <v>171250</v>
      </c>
      <c r="I16" s="16" t="s">
        <v>28</v>
      </c>
      <c r="J16" s="16" t="s">
        <v>48</v>
      </c>
      <c r="K16" s="90">
        <f t="shared" si="0"/>
        <v>6.85</v>
      </c>
      <c r="L16" s="106">
        <v>3.2</v>
      </c>
      <c r="M16" s="90">
        <f>_xlfn.IFNA(VLOOKUP(I16,Inputs!D:E,2,FALSE),0)</f>
        <v>4</v>
      </c>
      <c r="N16" s="90">
        <f>_xlfn.IFNA(VLOOKUP(D16,Inputs!G:H,2,FALSE),0)</f>
        <v>11</v>
      </c>
      <c r="O16" s="90">
        <f>_xlfn.IFNA(VLOOKUP(D16,Inputs!K:L,2,FALSE),0)</f>
        <v>12</v>
      </c>
      <c r="P16" s="107">
        <v>17</v>
      </c>
      <c r="Q16" s="90">
        <f t="shared" si="1"/>
        <v>81.05</v>
      </c>
      <c r="S16" s="108"/>
      <c r="T16" s="109">
        <f t="shared" si="5"/>
        <v>5.61470588235294</v>
      </c>
      <c r="U16" s="94">
        <f t="shared" si="2"/>
        <v>1470.58823529412</v>
      </c>
      <c r="V16" s="95">
        <f t="shared" si="3"/>
        <v>80000</v>
      </c>
    </row>
    <row r="17" spans="2:22">
      <c r="B17" s="103" t="s">
        <v>50</v>
      </c>
      <c r="C17" s="104" t="s">
        <v>46</v>
      </c>
      <c r="D17" s="16" t="s">
        <v>47</v>
      </c>
      <c r="E17" s="104" t="s">
        <v>27</v>
      </c>
      <c r="F17" s="18">
        <v>25000</v>
      </c>
      <c r="G17" s="19">
        <v>6.85</v>
      </c>
      <c r="H17" s="18">
        <v>171250</v>
      </c>
      <c r="I17" s="16" t="s">
        <v>28</v>
      </c>
      <c r="J17" s="16" t="s">
        <v>48</v>
      </c>
      <c r="K17" s="90">
        <f t="shared" si="0"/>
        <v>6.85</v>
      </c>
      <c r="L17" s="106">
        <v>3.2</v>
      </c>
      <c r="M17" s="90">
        <f>_xlfn.IFNA(VLOOKUP(I17,Inputs!D:E,2,FALSE),0)</f>
        <v>4</v>
      </c>
      <c r="N17" s="90">
        <f>_xlfn.IFNA(VLOOKUP(D17,Inputs!G:H,2,FALSE),0)</f>
        <v>11</v>
      </c>
      <c r="O17" s="90">
        <f>_xlfn.IFNA(VLOOKUP(D17,Inputs!K:L,2,FALSE),0)</f>
        <v>12</v>
      </c>
      <c r="P17" s="107">
        <v>17</v>
      </c>
      <c r="Q17" s="90">
        <f t="shared" si="1"/>
        <v>81.05</v>
      </c>
      <c r="S17" s="108"/>
      <c r="T17" s="109">
        <f t="shared" si="5"/>
        <v>5.61470588235294</v>
      </c>
      <c r="U17" s="94">
        <f t="shared" si="2"/>
        <v>1470.58823529412</v>
      </c>
      <c r="V17" s="95">
        <f t="shared" si="3"/>
        <v>80000</v>
      </c>
    </row>
    <row r="18" spans="2:22">
      <c r="B18" s="103" t="s">
        <v>51</v>
      </c>
      <c r="C18" s="104" t="s">
        <v>46</v>
      </c>
      <c r="D18" s="16" t="s">
        <v>47</v>
      </c>
      <c r="E18" s="104" t="s">
        <v>27</v>
      </c>
      <c r="F18" s="18">
        <v>25000</v>
      </c>
      <c r="G18" s="19">
        <v>6.85</v>
      </c>
      <c r="H18" s="18">
        <v>171250</v>
      </c>
      <c r="I18" s="16" t="s">
        <v>28</v>
      </c>
      <c r="J18" s="16" t="s">
        <v>48</v>
      </c>
      <c r="K18" s="90">
        <f t="shared" si="0"/>
        <v>6.85</v>
      </c>
      <c r="L18" s="106">
        <v>3.2</v>
      </c>
      <c r="M18" s="90">
        <f>_xlfn.IFNA(VLOOKUP(I18,Inputs!D:E,2,FALSE),0)</f>
        <v>4</v>
      </c>
      <c r="N18" s="90">
        <f>_xlfn.IFNA(VLOOKUP(D18,Inputs!G:H,2,FALSE),0)</f>
        <v>11</v>
      </c>
      <c r="O18" s="90">
        <f>_xlfn.IFNA(VLOOKUP(D18,Inputs!K:L,2,FALSE),0)</f>
        <v>12</v>
      </c>
      <c r="P18" s="107">
        <v>17</v>
      </c>
      <c r="Q18" s="90">
        <f t="shared" si="1"/>
        <v>81.05</v>
      </c>
      <c r="S18" s="108"/>
      <c r="T18" s="109">
        <f t="shared" si="5"/>
        <v>5.61470588235294</v>
      </c>
      <c r="U18" s="94">
        <f t="shared" si="2"/>
        <v>1470.58823529412</v>
      </c>
      <c r="V18" s="95">
        <f t="shared" si="3"/>
        <v>80000</v>
      </c>
    </row>
    <row r="19" spans="2:22">
      <c r="B19" s="103" t="s">
        <v>52</v>
      </c>
      <c r="C19" s="104" t="s">
        <v>46</v>
      </c>
      <c r="D19" s="16" t="s">
        <v>47</v>
      </c>
      <c r="E19" s="104" t="s">
        <v>27</v>
      </c>
      <c r="F19" s="18">
        <v>25000</v>
      </c>
      <c r="G19" s="19">
        <v>6.85</v>
      </c>
      <c r="H19" s="18">
        <v>171250</v>
      </c>
      <c r="I19" s="16" t="s">
        <v>28</v>
      </c>
      <c r="J19" s="16" t="s">
        <v>48</v>
      </c>
      <c r="K19" s="90">
        <f t="shared" si="0"/>
        <v>6.85</v>
      </c>
      <c r="L19" s="106">
        <v>3.2</v>
      </c>
      <c r="M19" s="90">
        <f>_xlfn.IFNA(VLOOKUP(I19,Inputs!D:E,2,FALSE),0)</f>
        <v>4</v>
      </c>
      <c r="N19" s="90">
        <f>_xlfn.IFNA(VLOOKUP(D19,Inputs!G:H,2,FALSE),0)</f>
        <v>11</v>
      </c>
      <c r="O19" s="90">
        <f>_xlfn.IFNA(VLOOKUP(D19,Inputs!K:L,2,FALSE),0)</f>
        <v>12</v>
      </c>
      <c r="P19" s="107">
        <v>17</v>
      </c>
      <c r="Q19" s="90">
        <f t="shared" si="1"/>
        <v>81.05</v>
      </c>
      <c r="S19" s="108"/>
      <c r="T19" s="109">
        <f t="shared" si="5"/>
        <v>5.61470588235294</v>
      </c>
      <c r="U19" s="94">
        <f t="shared" si="2"/>
        <v>1470.58823529412</v>
      </c>
      <c r="V19" s="95">
        <f t="shared" si="3"/>
        <v>80000</v>
      </c>
    </row>
    <row r="20" hidden="1" spans="2:22">
      <c r="B20" s="103" t="s">
        <v>53</v>
      </c>
      <c r="C20" s="104" t="s">
        <v>54</v>
      </c>
      <c r="D20" s="16" t="s">
        <v>36</v>
      </c>
      <c r="E20" s="104" t="s">
        <v>27</v>
      </c>
      <c r="F20" s="18">
        <v>24999</v>
      </c>
      <c r="G20" s="19">
        <v>9.5</v>
      </c>
      <c r="H20" s="18">
        <v>237490.5</v>
      </c>
      <c r="I20" s="16" t="s">
        <v>28</v>
      </c>
      <c r="J20" s="16" t="s">
        <v>48</v>
      </c>
      <c r="K20" s="90">
        <f t="shared" si="0"/>
        <v>9.5</v>
      </c>
      <c r="L20" s="106">
        <v>7.7</v>
      </c>
      <c r="M20" s="90">
        <f>_xlfn.IFNA(VLOOKUP(I20,Inputs!D:E,2,FALSE),0)</f>
        <v>4</v>
      </c>
      <c r="N20" s="90">
        <f>_xlfn.IFNA(VLOOKUP(D20,Inputs!G:H,2,FALSE),0)</f>
        <v>6</v>
      </c>
      <c r="O20" s="90">
        <v>0.5</v>
      </c>
      <c r="P20" s="107">
        <v>14</v>
      </c>
      <c r="Q20" s="90">
        <f t="shared" si="1"/>
        <v>27.7</v>
      </c>
      <c r="S20" s="108"/>
      <c r="T20" s="109">
        <f t="shared" si="5"/>
        <v>6.82142857142857</v>
      </c>
      <c r="U20" s="94">
        <f t="shared" si="2"/>
        <v>1785.64285714286</v>
      </c>
      <c r="V20" s="95">
        <f t="shared" si="3"/>
        <v>192492.3</v>
      </c>
    </row>
    <row r="21" hidden="1" spans="2:22">
      <c r="B21" s="103" t="s">
        <v>55</v>
      </c>
      <c r="C21" s="104" t="s">
        <v>54</v>
      </c>
      <c r="D21" s="16" t="s">
        <v>56</v>
      </c>
      <c r="E21" s="104" t="s">
        <v>27</v>
      </c>
      <c r="F21" s="18">
        <v>17000</v>
      </c>
      <c r="G21" s="19">
        <v>11.6</v>
      </c>
      <c r="H21" s="18">
        <v>197200</v>
      </c>
      <c r="I21" s="16" t="s">
        <v>41</v>
      </c>
      <c r="J21" s="16" t="s">
        <v>48</v>
      </c>
      <c r="K21" s="90">
        <f t="shared" si="0"/>
        <v>11.6</v>
      </c>
      <c r="L21" s="106">
        <v>10.5</v>
      </c>
      <c r="M21" s="90">
        <f>_xlfn.IFNA(VLOOKUP(I21,Inputs!D:E,2,FALSE),0)</f>
        <v>2</v>
      </c>
      <c r="N21" s="90">
        <f>_xlfn.IFNA(VLOOKUP(D21,Inputs!G:H,2,FALSE),0)</f>
        <v>11</v>
      </c>
      <c r="O21" s="90">
        <f>_xlfn.IFNA(VLOOKUP(D21,Inputs!K:L,2,FALSE),0)</f>
        <v>10</v>
      </c>
      <c r="P21" s="107">
        <v>18</v>
      </c>
      <c r="Q21" s="90">
        <f t="shared" si="1"/>
        <v>38.8</v>
      </c>
      <c r="S21" s="108"/>
      <c r="T21" s="109">
        <f t="shared" si="5"/>
        <v>10.4333333333333</v>
      </c>
      <c r="U21" s="94">
        <f t="shared" si="2"/>
        <v>944.444444444444</v>
      </c>
      <c r="V21" s="95">
        <f t="shared" si="3"/>
        <v>178500</v>
      </c>
    </row>
    <row r="22" hidden="1" spans="2:22">
      <c r="B22" s="103" t="s">
        <v>57</v>
      </c>
      <c r="C22" s="104" t="s">
        <v>54</v>
      </c>
      <c r="D22" s="16" t="s">
        <v>56</v>
      </c>
      <c r="E22" s="104" t="s">
        <v>27</v>
      </c>
      <c r="F22" s="18">
        <v>17000</v>
      </c>
      <c r="G22" s="19">
        <v>11.6</v>
      </c>
      <c r="H22" s="18">
        <v>197200</v>
      </c>
      <c r="I22" s="16" t="s">
        <v>41</v>
      </c>
      <c r="J22" s="16" t="s">
        <v>48</v>
      </c>
      <c r="K22" s="90">
        <f t="shared" si="0"/>
        <v>11.6</v>
      </c>
      <c r="L22" s="106">
        <v>10.5</v>
      </c>
      <c r="M22" s="90">
        <f>_xlfn.IFNA(VLOOKUP(I22,Inputs!D:E,2,FALSE),0)</f>
        <v>2</v>
      </c>
      <c r="N22" s="90">
        <f>_xlfn.IFNA(VLOOKUP(D22,Inputs!G:H,2,FALSE),0)</f>
        <v>11</v>
      </c>
      <c r="O22" s="90">
        <f>_xlfn.IFNA(VLOOKUP(D22,Inputs!K:L,2,FALSE),0)</f>
        <v>10</v>
      </c>
      <c r="P22" s="107">
        <v>18</v>
      </c>
      <c r="Q22" s="90">
        <f t="shared" si="1"/>
        <v>38.8</v>
      </c>
      <c r="S22" s="108"/>
      <c r="T22" s="109">
        <f t="shared" si="5"/>
        <v>10.4333333333333</v>
      </c>
      <c r="U22" s="94">
        <f t="shared" si="2"/>
        <v>944.444444444444</v>
      </c>
      <c r="V22" s="95">
        <f t="shared" si="3"/>
        <v>178500</v>
      </c>
    </row>
    <row r="23" hidden="1" spans="2:22">
      <c r="B23" s="103" t="s">
        <v>58</v>
      </c>
      <c r="C23" s="104" t="s">
        <v>46</v>
      </c>
      <c r="D23" s="16" t="s">
        <v>36</v>
      </c>
      <c r="E23" s="104" t="s">
        <v>27</v>
      </c>
      <c r="F23" s="18">
        <v>25000</v>
      </c>
      <c r="G23" s="19">
        <v>9.8</v>
      </c>
      <c r="H23" s="18">
        <v>245000</v>
      </c>
      <c r="I23" s="16" t="s">
        <v>28</v>
      </c>
      <c r="J23" s="16" t="s">
        <v>48</v>
      </c>
      <c r="K23" s="90">
        <f t="shared" si="0"/>
        <v>9.8</v>
      </c>
      <c r="L23" s="106">
        <v>7.7</v>
      </c>
      <c r="M23" s="90">
        <f>_xlfn.IFNA(VLOOKUP(I23,Inputs!D:E,2,FALSE),0)</f>
        <v>4</v>
      </c>
      <c r="N23" s="90">
        <f>_xlfn.IFNA(VLOOKUP(D23,Inputs!G:H,2,FALSE),0)</f>
        <v>6</v>
      </c>
      <c r="O23" s="90">
        <v>0.5</v>
      </c>
      <c r="P23" s="107">
        <v>14</v>
      </c>
      <c r="Q23" s="90">
        <f t="shared" si="1"/>
        <v>31.9</v>
      </c>
      <c r="S23" s="108"/>
      <c r="T23" s="109">
        <f t="shared" si="5"/>
        <v>7.12142857142857</v>
      </c>
      <c r="U23" s="94">
        <f t="shared" si="2"/>
        <v>1785.71428571429</v>
      </c>
      <c r="V23" s="95">
        <f t="shared" si="3"/>
        <v>192500</v>
      </c>
    </row>
    <row r="24" hidden="1" spans="2:22">
      <c r="B24" s="103" t="s">
        <v>59</v>
      </c>
      <c r="C24" s="104" t="s">
        <v>60</v>
      </c>
      <c r="D24" s="16" t="s">
        <v>36</v>
      </c>
      <c r="E24" s="104" t="s">
        <v>27</v>
      </c>
      <c r="F24" s="18">
        <v>24000</v>
      </c>
      <c r="G24" s="19">
        <v>9.65</v>
      </c>
      <c r="H24" s="18">
        <v>231600</v>
      </c>
      <c r="I24" s="16" t="s">
        <v>28</v>
      </c>
      <c r="J24" s="16" t="s">
        <v>48</v>
      </c>
      <c r="K24" s="90">
        <f t="shared" si="0"/>
        <v>9.65</v>
      </c>
      <c r="L24" s="106">
        <v>7.7</v>
      </c>
      <c r="M24" s="90">
        <f>_xlfn.IFNA(VLOOKUP(I24,Inputs!D:E,2,FALSE),0)</f>
        <v>4</v>
      </c>
      <c r="N24" s="90">
        <f>_xlfn.IFNA(VLOOKUP(D24,Inputs!G:H,2,FALSE),0)</f>
        <v>6</v>
      </c>
      <c r="O24" s="90">
        <v>0.5</v>
      </c>
      <c r="P24" s="107">
        <v>14</v>
      </c>
      <c r="Q24" s="90">
        <f t="shared" si="1"/>
        <v>29.8</v>
      </c>
      <c r="S24" s="108"/>
      <c r="T24" s="109">
        <f t="shared" si="5"/>
        <v>6.97142857142857</v>
      </c>
      <c r="U24" s="94">
        <f t="shared" si="2"/>
        <v>1714.28571428571</v>
      </c>
      <c r="V24" s="95">
        <f t="shared" si="3"/>
        <v>184800</v>
      </c>
    </row>
    <row r="25" hidden="1" spans="2:22">
      <c r="B25" s="103" t="s">
        <v>61</v>
      </c>
      <c r="C25" s="104" t="s">
        <v>35</v>
      </c>
      <c r="D25" s="16" t="s">
        <v>36</v>
      </c>
      <c r="E25" s="104" t="s">
        <v>27</v>
      </c>
      <c r="F25" s="18">
        <v>16000</v>
      </c>
      <c r="G25" s="19">
        <v>10.0724637681159</v>
      </c>
      <c r="H25" s="18">
        <v>158857.142857143</v>
      </c>
      <c r="I25" s="16" t="s">
        <v>41</v>
      </c>
      <c r="J25" s="16" t="s">
        <v>29</v>
      </c>
      <c r="K25" s="90">
        <f t="shared" si="0"/>
        <v>9.77246376811594</v>
      </c>
      <c r="L25" s="106">
        <v>7.7</v>
      </c>
      <c r="M25" s="90">
        <f>_xlfn.IFNA(VLOOKUP(I25,Inputs!D:E,2,FALSE),0)</f>
        <v>2</v>
      </c>
      <c r="N25" s="90">
        <f>_xlfn.IFNA(VLOOKUP(D25,Inputs!G:H,2,FALSE),0)</f>
        <v>6</v>
      </c>
      <c r="O25" s="90">
        <v>0.5</v>
      </c>
      <c r="P25" s="107">
        <v>10</v>
      </c>
      <c r="Q25" s="90">
        <f t="shared" si="1"/>
        <v>25.2246376811594</v>
      </c>
      <c r="S25" s="108"/>
      <c r="T25" s="109">
        <f t="shared" si="5"/>
        <v>6.22246376811594</v>
      </c>
      <c r="U25" s="94">
        <f t="shared" si="2"/>
        <v>1600</v>
      </c>
      <c r="V25" s="95">
        <f t="shared" si="3"/>
        <v>123200</v>
      </c>
    </row>
    <row r="26" hidden="1" spans="2:22">
      <c r="B26" s="103" t="s">
        <v>62</v>
      </c>
      <c r="C26" s="104" t="s">
        <v>35</v>
      </c>
      <c r="D26" s="16" t="s">
        <v>36</v>
      </c>
      <c r="E26" s="104" t="s">
        <v>27</v>
      </c>
      <c r="F26" s="18">
        <v>16000</v>
      </c>
      <c r="G26" s="19">
        <v>10.1449275362319</v>
      </c>
      <c r="H26" s="18">
        <v>160000</v>
      </c>
      <c r="I26" s="16" t="s">
        <v>41</v>
      </c>
      <c r="J26" s="16" t="s">
        <v>29</v>
      </c>
      <c r="K26" s="90">
        <f t="shared" si="0"/>
        <v>9.84492753623188</v>
      </c>
      <c r="L26" s="106">
        <v>7.7</v>
      </c>
      <c r="M26" s="90">
        <f>_xlfn.IFNA(VLOOKUP(I26,Inputs!D:E,2,FALSE),0)</f>
        <v>2</v>
      </c>
      <c r="N26" s="90">
        <f>_xlfn.IFNA(VLOOKUP(D26,Inputs!G:H,2,FALSE),0)</f>
        <v>6</v>
      </c>
      <c r="O26" s="90">
        <v>0.5</v>
      </c>
      <c r="P26" s="107">
        <v>10</v>
      </c>
      <c r="Q26" s="90">
        <f t="shared" ref="Q26:Q31" si="8">IF(P26&gt;0,(K26-L26)*P26+N26+O26-M26,0)</f>
        <v>25.9492753623188</v>
      </c>
      <c r="S26" s="108"/>
      <c r="T26" s="109">
        <f t="shared" si="5"/>
        <v>6.29492753623188</v>
      </c>
      <c r="U26" s="94">
        <f t="shared" ref="U26:U31" si="9">IF(P26&gt;0,(F26/P26),0)</f>
        <v>1600</v>
      </c>
      <c r="V26" s="95">
        <f t="shared" ref="V26:V31" si="10">(L26*F26)</f>
        <v>123200</v>
      </c>
    </row>
    <row r="27" hidden="1" spans="2:22">
      <c r="B27" s="103" t="s">
        <v>63</v>
      </c>
      <c r="C27" s="104" t="s">
        <v>60</v>
      </c>
      <c r="D27" s="16" t="s">
        <v>36</v>
      </c>
      <c r="E27" s="104" t="s">
        <v>27</v>
      </c>
      <c r="F27" s="18">
        <v>24000</v>
      </c>
      <c r="G27" s="19">
        <v>9.75</v>
      </c>
      <c r="H27" s="18">
        <v>234000</v>
      </c>
      <c r="I27" s="16" t="s">
        <v>28</v>
      </c>
      <c r="J27" s="16" t="s">
        <v>48</v>
      </c>
      <c r="K27" s="90">
        <f t="shared" si="0"/>
        <v>9.75</v>
      </c>
      <c r="L27" s="106">
        <v>7.7</v>
      </c>
      <c r="M27" s="90">
        <f>_xlfn.IFNA(VLOOKUP(I27,Inputs!D:E,2,FALSE),0)</f>
        <v>4</v>
      </c>
      <c r="N27" s="90">
        <f>_xlfn.IFNA(VLOOKUP(D27,Inputs!G:H,2,FALSE),0)</f>
        <v>6</v>
      </c>
      <c r="O27" s="90">
        <v>0.5</v>
      </c>
      <c r="P27" s="107">
        <v>14</v>
      </c>
      <c r="Q27" s="90">
        <f t="shared" si="8"/>
        <v>31.2</v>
      </c>
      <c r="S27" s="108"/>
      <c r="T27" s="109">
        <f t="shared" si="5"/>
        <v>7.07142857142857</v>
      </c>
      <c r="U27" s="94">
        <f t="shared" si="9"/>
        <v>1714.28571428571</v>
      </c>
      <c r="V27" s="95">
        <f t="shared" si="10"/>
        <v>184800</v>
      </c>
    </row>
    <row r="28" hidden="1" spans="2:22">
      <c r="B28" s="103" t="s">
        <v>64</v>
      </c>
      <c r="C28" s="104" t="s">
        <v>65</v>
      </c>
      <c r="D28" s="16" t="s">
        <v>56</v>
      </c>
      <c r="E28" s="104" t="s">
        <v>27</v>
      </c>
      <c r="F28" s="18">
        <v>8100</v>
      </c>
      <c r="G28" s="19">
        <v>10.375</v>
      </c>
      <c r="H28" s="18">
        <v>83800</v>
      </c>
      <c r="I28" s="16" t="s">
        <v>66</v>
      </c>
      <c r="J28" s="16" t="s">
        <v>48</v>
      </c>
      <c r="K28" s="90">
        <f t="shared" si="0"/>
        <v>10.375</v>
      </c>
      <c r="L28" s="111">
        <v>10.5</v>
      </c>
      <c r="M28" s="90">
        <f>_xlfn.IFNA(VLOOKUP(I28,Inputs!D:E,2,FALSE),0)</f>
        <v>7</v>
      </c>
      <c r="N28" s="90">
        <f>_xlfn.IFNA(VLOOKUP(D28,Inputs!G:H,2,FALSE),0)</f>
        <v>11</v>
      </c>
      <c r="O28" s="90">
        <f>_xlfn.IFNA(VLOOKUP(D28,Inputs!K:L,2,FALSE),0)</f>
        <v>10</v>
      </c>
      <c r="P28" s="120">
        <v>18</v>
      </c>
      <c r="Q28" s="90">
        <f t="shared" si="8"/>
        <v>11.75</v>
      </c>
      <c r="S28" s="121"/>
      <c r="T28" s="109">
        <f t="shared" si="5"/>
        <v>8.93055555555556</v>
      </c>
      <c r="U28" s="94">
        <f t="shared" si="9"/>
        <v>450</v>
      </c>
      <c r="V28" s="95">
        <f t="shared" si="10"/>
        <v>85050</v>
      </c>
    </row>
    <row r="29" hidden="1" spans="2:22">
      <c r="B29" s="103" t="s">
        <v>67</v>
      </c>
      <c r="C29" s="104" t="s">
        <v>60</v>
      </c>
      <c r="D29" s="16" t="s">
        <v>36</v>
      </c>
      <c r="E29" s="104" t="s">
        <v>27</v>
      </c>
      <c r="F29" s="18">
        <v>25000</v>
      </c>
      <c r="G29" s="19">
        <v>10</v>
      </c>
      <c r="H29" s="18">
        <v>250000</v>
      </c>
      <c r="I29" s="16" t="s">
        <v>28</v>
      </c>
      <c r="J29" s="16" t="s">
        <v>48</v>
      </c>
      <c r="K29" s="90">
        <f t="shared" si="0"/>
        <v>10</v>
      </c>
      <c r="L29" s="106">
        <v>7.7</v>
      </c>
      <c r="M29" s="90">
        <f>_xlfn.IFNA(VLOOKUP(I29,Inputs!D:E,2,FALSE),0)</f>
        <v>4</v>
      </c>
      <c r="N29" s="90">
        <f>_xlfn.IFNA(VLOOKUP(D29,Inputs!G:H,2,FALSE),0)</f>
        <v>6</v>
      </c>
      <c r="O29" s="90">
        <v>0.5</v>
      </c>
      <c r="P29" s="107">
        <v>14</v>
      </c>
      <c r="Q29" s="90">
        <f t="shared" si="8"/>
        <v>34.7</v>
      </c>
      <c r="S29" s="121"/>
      <c r="T29" s="109">
        <f t="shared" ref="T29:T31" si="11">IF(P29&gt;0,(K29)-((40+M29-O29-N29)/P29),0)</f>
        <v>7.32142857142857</v>
      </c>
      <c r="U29" s="94">
        <f t="shared" si="9"/>
        <v>1785.71428571429</v>
      </c>
      <c r="V29" s="95">
        <f t="shared" si="10"/>
        <v>192500</v>
      </c>
    </row>
    <row r="30" spans="2:22">
      <c r="B30" s="103" t="s">
        <v>68</v>
      </c>
      <c r="C30" s="104" t="s">
        <v>46</v>
      </c>
      <c r="D30" s="16" t="s">
        <v>47</v>
      </c>
      <c r="E30" s="104" t="s">
        <v>27</v>
      </c>
      <c r="F30" s="18">
        <v>25000</v>
      </c>
      <c r="G30" s="19">
        <v>7.05</v>
      </c>
      <c r="H30" s="18">
        <v>176250</v>
      </c>
      <c r="I30" s="16" t="s">
        <v>28</v>
      </c>
      <c r="J30" s="16" t="s">
        <v>48</v>
      </c>
      <c r="K30" s="90">
        <f t="shared" ref="K30:K31" si="12">IF(J30="CIF",G30-0.3,G30)</f>
        <v>7.05</v>
      </c>
      <c r="L30" s="106">
        <v>3.2</v>
      </c>
      <c r="M30" s="90">
        <f>_xlfn.IFNA(VLOOKUP(I30,Inputs!D:E,2,FALSE),0)</f>
        <v>4</v>
      </c>
      <c r="N30" s="90">
        <f>_xlfn.IFNA(VLOOKUP(D30,Inputs!G:H,2,FALSE),0)</f>
        <v>11</v>
      </c>
      <c r="O30" s="90">
        <f>_xlfn.IFNA(VLOOKUP(D30,Inputs!K:L,2,FALSE),0)</f>
        <v>12</v>
      </c>
      <c r="P30" s="107">
        <v>17</v>
      </c>
      <c r="Q30" s="90">
        <f t="shared" si="8"/>
        <v>84.45</v>
      </c>
      <c r="S30" s="108"/>
      <c r="T30" s="109">
        <f t="shared" si="11"/>
        <v>5.81470588235294</v>
      </c>
      <c r="U30" s="94">
        <f t="shared" si="9"/>
        <v>1470.58823529412</v>
      </c>
      <c r="V30" s="95">
        <f t="shared" si="10"/>
        <v>80000</v>
      </c>
    </row>
    <row r="31" spans="2:22">
      <c r="B31" s="103" t="s">
        <v>69</v>
      </c>
      <c r="C31" s="104" t="s">
        <v>46</v>
      </c>
      <c r="D31" s="16" t="s">
        <v>47</v>
      </c>
      <c r="E31" s="104" t="s">
        <v>27</v>
      </c>
      <c r="F31" s="18">
        <v>25000</v>
      </c>
      <c r="G31" s="19">
        <v>7.05</v>
      </c>
      <c r="H31" s="18">
        <v>176250</v>
      </c>
      <c r="I31" s="16" t="s">
        <v>28</v>
      </c>
      <c r="J31" s="16" t="s">
        <v>48</v>
      </c>
      <c r="K31" s="90">
        <f t="shared" si="12"/>
        <v>7.05</v>
      </c>
      <c r="L31" s="106">
        <v>3.2</v>
      </c>
      <c r="M31" s="90">
        <f>_xlfn.IFNA(VLOOKUP(I31,Inputs!D:E,2,FALSE),0)</f>
        <v>4</v>
      </c>
      <c r="N31" s="90">
        <f>_xlfn.IFNA(VLOOKUP(D31,Inputs!G:H,2,FALSE),0)</f>
        <v>11</v>
      </c>
      <c r="O31" s="90">
        <f>_xlfn.IFNA(VLOOKUP(D31,Inputs!K:L,2,FALSE),0)</f>
        <v>12</v>
      </c>
      <c r="P31" s="107">
        <v>17</v>
      </c>
      <c r="Q31" s="90">
        <f t="shared" si="8"/>
        <v>84.45</v>
      </c>
      <c r="S31" s="108"/>
      <c r="T31" s="109">
        <f t="shared" si="11"/>
        <v>5.81470588235294</v>
      </c>
      <c r="U31" s="94">
        <f t="shared" si="9"/>
        <v>1470.58823529412</v>
      </c>
      <c r="V31" s="95">
        <f t="shared" si="10"/>
        <v>80000</v>
      </c>
    </row>
    <row r="32" hidden="1" spans="2:22">
      <c r="B32" s="96" t="s">
        <v>70</v>
      </c>
      <c r="C32" s="97"/>
      <c r="D32" s="97"/>
      <c r="E32" s="97"/>
      <c r="F32" s="98">
        <f>SUM(F5:F31)</f>
        <v>611096</v>
      </c>
      <c r="G32" s="99">
        <f>(H32/F32)</f>
        <v>9.09854156653432</v>
      </c>
      <c r="H32" s="98">
        <f>SUM(H5:H31)</f>
        <v>5560082.35714286</v>
      </c>
      <c r="I32" s="100"/>
      <c r="J32" s="100"/>
      <c r="K32" s="90"/>
      <c r="L32" s="122"/>
      <c r="M32" s="90"/>
      <c r="N32" s="90"/>
      <c r="O32" s="90"/>
      <c r="P32" s="123"/>
      <c r="Q32" s="90"/>
      <c r="R32" s="98">
        <f>SUM(R5:R31)</f>
        <v>982321.425906937</v>
      </c>
      <c r="S32"/>
      <c r="T32" s="124"/>
      <c r="U32" s="125"/>
      <c r="V32" s="126"/>
    </row>
    <row r="33" spans="1:39">
      <c r="B33" s="127"/>
      <c r="C33" s="81"/>
      <c r="D33" s="81"/>
      <c r="E33" s="81"/>
      <c r="F33" s="128"/>
      <c r="G33" s="129"/>
      <c r="H33" s="128"/>
      <c r="I33" s="100"/>
      <c r="J33" s="100"/>
      <c r="K33" s="90"/>
      <c r="L33" s="122"/>
      <c r="M33" s="90"/>
      <c r="N33" s="90"/>
      <c r="O33" s="90"/>
      <c r="P33" s="123"/>
      <c r="Q33" s="90"/>
      <c r="S33"/>
      <c r="T33" s="124"/>
      <c r="U33" s="125"/>
      <c r="V33" s="126"/>
    </row>
    <row r="34" spans="1:39">
      <c r="A34"/>
      <c r="B34" s="130"/>
      <c r="C34" s="131"/>
      <c r="E34" s="131"/>
      <c r="F34" s="132"/>
      <c r="G34" s="133"/>
      <c r="H34" s="133"/>
      <c r="I34" s="100"/>
      <c r="J34" s="100"/>
      <c r="K34" s="90"/>
      <c r="L34" s="122"/>
      <c r="M34" s="90"/>
      <c r="N34" s="90"/>
      <c r="O34" s="90"/>
      <c r="P34" s="123"/>
      <c r="Q34" s="90"/>
      <c r="S34"/>
      <c r="T34" s="124"/>
      <c r="U34" s="125"/>
      <c r="V34" s="126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ht="15.15" spans="1:39">
      <c r="B35" s="76" t="s">
        <v>71</v>
      </c>
      <c r="C35" s="77"/>
      <c r="D35" s="77"/>
      <c r="E35" s="77"/>
      <c r="F35" s="77"/>
      <c r="G35" s="77"/>
      <c r="H35" s="77"/>
      <c r="I35" s="77"/>
      <c r="J35" s="134"/>
      <c r="K35" s="90"/>
      <c r="L35" s="122"/>
      <c r="M35" s="90"/>
      <c r="N35" s="90"/>
      <c r="O35" s="90"/>
      <c r="P35" s="123"/>
      <c r="Q35" s="90"/>
      <c r="S35"/>
      <c r="T35" s="124"/>
      <c r="U35" s="125"/>
      <c r="V35" s="126"/>
    </row>
    <row r="36" ht="45" customHeight="1" spans="1:39">
      <c r="B36" s="80" t="s">
        <v>3</v>
      </c>
      <c r="C36" s="80" t="s">
        <v>4</v>
      </c>
      <c r="D36" s="80" t="s">
        <v>5</v>
      </c>
      <c r="E36" s="81" t="s">
        <v>6</v>
      </c>
      <c r="F36" s="80" t="s">
        <v>7</v>
      </c>
      <c r="G36" s="80" t="s">
        <v>8</v>
      </c>
      <c r="H36" s="80" t="s">
        <v>9</v>
      </c>
      <c r="I36" s="82" t="s">
        <v>10</v>
      </c>
      <c r="J36" s="14" t="s">
        <v>11</v>
      </c>
      <c r="K36" s="14" t="s">
        <v>12</v>
      </c>
      <c r="L36" s="82" t="s">
        <v>13</v>
      </c>
      <c r="M36" s="14" t="s">
        <v>14</v>
      </c>
      <c r="N36" s="14" t="s">
        <v>15</v>
      </c>
      <c r="O36" s="14" t="s">
        <v>16</v>
      </c>
      <c r="P36" s="14" t="s">
        <v>17</v>
      </c>
      <c r="Q36" s="14" t="s">
        <v>18</v>
      </c>
      <c r="R36" s="83"/>
      <c r="S36" s="14" t="s">
        <v>20</v>
      </c>
      <c r="T36" s="84" t="s">
        <v>21</v>
      </c>
      <c r="U36" s="85" t="s">
        <v>22</v>
      </c>
      <c r="V36" s="85" t="s">
        <v>23</v>
      </c>
    </row>
    <row r="37" spans="1:39">
      <c r="B37" s="103" t="s">
        <v>72</v>
      </c>
      <c r="C37" s="104" t="s">
        <v>73</v>
      </c>
      <c r="D37" s="16" t="s">
        <v>26</v>
      </c>
      <c r="E37" s="105">
        <v>46205</v>
      </c>
      <c r="F37" s="18">
        <v>21617.16</v>
      </c>
      <c r="G37" s="19">
        <v>9.71014492753623</v>
      </c>
      <c r="H37" s="18">
        <v>206907.102857143</v>
      </c>
      <c r="I37" s="16" t="s">
        <v>28</v>
      </c>
      <c r="J37" s="16" t="s">
        <v>29</v>
      </c>
      <c r="K37" s="90">
        <f t="shared" ref="K37:K47" si="13">IF(J37="CIF",G37-0.3,G37)</f>
        <v>9.41014492753623</v>
      </c>
      <c r="L37" s="106">
        <v>8.81</v>
      </c>
      <c r="M37" s="90">
        <f>_xlfn.IFNA(VLOOKUP(I37,Inputs!D:E,2,FALSE),0)</f>
        <v>4</v>
      </c>
      <c r="N37" s="90">
        <f>_xlfn.IFNA(VLOOKUP(D37,Inputs!G:H,2,FALSE),0)</f>
        <v>8</v>
      </c>
      <c r="O37" s="90">
        <f>_xlfn.IFNA(VLOOKUP(D37,Inputs!K:L,2,FALSE),0)</f>
        <v>10</v>
      </c>
      <c r="P37" s="107">
        <v>24.89</v>
      </c>
      <c r="Q37" s="90">
        <f t="shared" ref="Q37:Q47" si="14">IF(P37&gt;0,(K37-L37)*P37+N37+O37-M37,0)</f>
        <v>28.9376072463768</v>
      </c>
      <c r="S37" s="108"/>
      <c r="T37" s="109">
        <f t="shared" ref="T37:T47" si="15">IF(P37&gt;0,(K37)-((34+M37-O37-N37)/P37),0)</f>
        <v>8.60660937108786</v>
      </c>
      <c r="U37" s="94">
        <f t="shared" ref="U37:U47" si="16">IF(P37&gt;0,(F37/P37),0)</f>
        <v>868.507834471675</v>
      </c>
      <c r="V37" s="95">
        <f t="shared" ref="V37:V47" si="17">(L37*F37)</f>
        <v>190447.1796</v>
      </c>
      <c r="W37" s="110"/>
    </row>
    <row r="38" spans="1:39">
      <c r="B38" s="103" t="s">
        <v>74</v>
      </c>
      <c r="C38" s="104" t="s">
        <v>32</v>
      </c>
      <c r="D38" s="16" t="s">
        <v>26</v>
      </c>
      <c r="E38" s="105">
        <v>46212</v>
      </c>
      <c r="F38" s="18">
        <v>25004.6</v>
      </c>
      <c r="G38" s="19">
        <v>10.0724637681159</v>
      </c>
      <c r="H38" s="18">
        <v>248259.957142857</v>
      </c>
      <c r="I38" s="16" t="s">
        <v>28</v>
      </c>
      <c r="J38" s="16" t="s">
        <v>29</v>
      </c>
      <c r="K38" s="90">
        <f t="shared" si="13"/>
        <v>9.77246376811594</v>
      </c>
      <c r="L38" s="106">
        <v>8.21</v>
      </c>
      <c r="M38" s="90">
        <f>_xlfn.IFNA(VLOOKUP(I38,Inputs!D:E,2,FALSE),0)</f>
        <v>4</v>
      </c>
      <c r="N38" s="90">
        <f>_xlfn.IFNA(VLOOKUP(D38,Inputs!G:H,2,FALSE),0)</f>
        <v>8</v>
      </c>
      <c r="O38" s="90">
        <f>_xlfn.IFNA(VLOOKUP(D38,Inputs!K:L,2,FALSE),0)</f>
        <v>10</v>
      </c>
      <c r="P38" s="107">
        <v>18.24</v>
      </c>
      <c r="Q38" s="90">
        <f t="shared" si="14"/>
        <v>42.4993391304348</v>
      </c>
      <c r="S38" s="108"/>
      <c r="T38" s="109">
        <f t="shared" si="15"/>
        <v>8.67597254004577</v>
      </c>
      <c r="U38" s="94">
        <f t="shared" si="16"/>
        <v>1370.86622807018</v>
      </c>
      <c r="V38" s="95">
        <f t="shared" si="17"/>
        <v>205287.766</v>
      </c>
    </row>
    <row r="39" ht="15.75" customHeight="1" spans="1:39">
      <c r="B39" s="103" t="s">
        <v>75</v>
      </c>
      <c r="C39" s="104" t="s">
        <v>76</v>
      </c>
      <c r="D39" s="16" t="s">
        <v>77</v>
      </c>
      <c r="E39" s="105">
        <v>46202</v>
      </c>
      <c r="F39" s="18">
        <v>15503.2</v>
      </c>
      <c r="G39" s="19">
        <v>9.71014492753623</v>
      </c>
      <c r="H39" s="18">
        <v>148387.771428571</v>
      </c>
      <c r="I39" s="16" t="s">
        <v>41</v>
      </c>
      <c r="J39" s="16" t="s">
        <v>29</v>
      </c>
      <c r="K39" s="90">
        <f t="shared" si="13"/>
        <v>9.41014492753623</v>
      </c>
      <c r="L39" s="106">
        <v>7.8</v>
      </c>
      <c r="M39" s="90">
        <f>_xlfn.IFNA(VLOOKUP(I39,Inputs!D:E,2,FALSE),0)</f>
        <v>2</v>
      </c>
      <c r="N39" s="90">
        <f>_xlfn.IFNA(VLOOKUP(D39,Inputs!G:H,2,FALSE),0)</f>
        <v>8</v>
      </c>
      <c r="O39" s="90">
        <f>_xlfn.IFNA(VLOOKUP(D39,Inputs!K:L,2,FALSE),0)</f>
        <v>10</v>
      </c>
      <c r="P39" s="107">
        <v>23.3</v>
      </c>
      <c r="Q39" s="90">
        <f t="shared" si="14"/>
        <v>53.5163768115942</v>
      </c>
      <c r="S39" s="108"/>
      <c r="T39" s="109">
        <f t="shared" si="15"/>
        <v>8.63761273869503</v>
      </c>
      <c r="U39" s="94">
        <f t="shared" si="16"/>
        <v>665.37339055794</v>
      </c>
      <c r="V39" s="95">
        <f t="shared" si="17"/>
        <v>120924.96</v>
      </c>
    </row>
    <row r="40" spans="1:39">
      <c r="B40" s="103" t="s">
        <v>78</v>
      </c>
      <c r="C40" s="104" t="s">
        <v>46</v>
      </c>
      <c r="D40" s="16" t="s">
        <v>47</v>
      </c>
      <c r="E40" s="105">
        <v>46210</v>
      </c>
      <c r="F40" s="18">
        <v>25008.88</v>
      </c>
      <c r="G40" s="19">
        <v>6.85</v>
      </c>
      <c r="H40" s="18">
        <v>171310.828</v>
      </c>
      <c r="I40" s="16" t="s">
        <v>28</v>
      </c>
      <c r="J40" s="16" t="s">
        <v>48</v>
      </c>
      <c r="K40" s="90">
        <f t="shared" si="13"/>
        <v>6.85</v>
      </c>
      <c r="L40" s="106">
        <v>3.11</v>
      </c>
      <c r="M40" s="90">
        <f>_xlfn.IFNA(VLOOKUP(I40,Inputs!D:E,2,FALSE),0)</f>
        <v>4</v>
      </c>
      <c r="N40" s="90">
        <f>_xlfn.IFNA(VLOOKUP(D40,Inputs!G:H,2,FALSE),0)</f>
        <v>11</v>
      </c>
      <c r="O40" s="90">
        <f>_xlfn.IFNA(VLOOKUP(D40,Inputs!K:L,2,FALSE),0)</f>
        <v>12</v>
      </c>
      <c r="P40" s="107">
        <v>18.8</v>
      </c>
      <c r="Q40" s="90">
        <f t="shared" si="14"/>
        <v>89.312</v>
      </c>
      <c r="S40" s="108"/>
      <c r="T40" s="109">
        <f t="shared" si="15"/>
        <v>6.05212765957447</v>
      </c>
      <c r="U40" s="94">
        <f t="shared" si="16"/>
        <v>1330.25957446809</v>
      </c>
      <c r="V40" s="95">
        <f t="shared" si="17"/>
        <v>77777.6168</v>
      </c>
    </row>
    <row r="41" spans="1:39">
      <c r="B41" s="103" t="s">
        <v>79</v>
      </c>
      <c r="C41" s="104" t="s">
        <v>46</v>
      </c>
      <c r="D41" s="16" t="s">
        <v>56</v>
      </c>
      <c r="E41" s="105">
        <v>46206</v>
      </c>
      <c r="F41" s="18">
        <v>15221.1</v>
      </c>
      <c r="G41" s="19">
        <v>11.5</v>
      </c>
      <c r="H41" s="18">
        <v>175042.65</v>
      </c>
      <c r="I41" s="16" t="s">
        <v>41</v>
      </c>
      <c r="J41" s="16" t="s">
        <v>48</v>
      </c>
      <c r="K41" s="90">
        <f t="shared" si="13"/>
        <v>11.5</v>
      </c>
      <c r="L41" s="106">
        <v>10.35</v>
      </c>
      <c r="M41" s="90">
        <f>_xlfn.IFNA(VLOOKUP(I41,Inputs!D:E,2,FALSE),0)</f>
        <v>2</v>
      </c>
      <c r="N41" s="90">
        <f>_xlfn.IFNA(VLOOKUP(D41,Inputs!G:H,2,FALSE),0)</f>
        <v>11</v>
      </c>
      <c r="O41" s="90">
        <f>_xlfn.IFNA(VLOOKUP(D41,Inputs!K:L,2,FALSE),0)</f>
        <v>10</v>
      </c>
      <c r="P41" s="107">
        <v>18.06</v>
      </c>
      <c r="Q41" s="90">
        <f t="shared" si="14"/>
        <v>39.769</v>
      </c>
      <c r="S41" s="108"/>
      <c r="T41" s="109">
        <f t="shared" si="15"/>
        <v>10.6694352159468</v>
      </c>
      <c r="U41" s="94">
        <f t="shared" si="16"/>
        <v>842.8073089701</v>
      </c>
      <c r="V41" s="95">
        <f t="shared" si="17"/>
        <v>157538.385</v>
      </c>
    </row>
    <row r="42" ht="14.25" customHeight="1" spans="1:39">
      <c r="B42" s="103" t="s">
        <v>80</v>
      </c>
      <c r="C42" s="104" t="s">
        <v>81</v>
      </c>
      <c r="D42" s="16" t="s">
        <v>47</v>
      </c>
      <c r="E42" s="105">
        <v>46219</v>
      </c>
      <c r="F42" s="18">
        <v>25000.18</v>
      </c>
      <c r="G42" s="19">
        <v>6.65</v>
      </c>
      <c r="H42" s="18">
        <v>166251.197</v>
      </c>
      <c r="I42" s="16" t="s">
        <v>28</v>
      </c>
      <c r="J42" s="16" t="s">
        <v>48</v>
      </c>
      <c r="K42" s="90">
        <f t="shared" si="13"/>
        <v>6.65</v>
      </c>
      <c r="L42" s="106">
        <v>3.13</v>
      </c>
      <c r="M42" s="90">
        <f>_xlfn.IFNA(VLOOKUP(I42,Inputs!D:E,2,FALSE),0)</f>
        <v>4</v>
      </c>
      <c r="N42" s="90">
        <f>_xlfn.IFNA(VLOOKUP(D42,Inputs!G:H,2,FALSE),0)</f>
        <v>11</v>
      </c>
      <c r="O42" s="90">
        <f>_xlfn.IFNA(VLOOKUP(D42,Inputs!K:L,2,FALSE),0)</f>
        <v>12</v>
      </c>
      <c r="P42" s="107">
        <v>18.2</v>
      </c>
      <c r="Q42" s="90">
        <f t="shared" si="14"/>
        <v>83.064</v>
      </c>
      <c r="S42" s="108"/>
      <c r="T42" s="109">
        <f t="shared" si="15"/>
        <v>5.82582417582418</v>
      </c>
      <c r="U42" s="94">
        <f t="shared" si="16"/>
        <v>1373.63626373626</v>
      </c>
      <c r="V42" s="95">
        <f t="shared" si="17"/>
        <v>78250.5634</v>
      </c>
    </row>
    <row r="43" spans="1:39">
      <c r="B43" s="103" t="s">
        <v>82</v>
      </c>
      <c r="C43" s="104" t="s">
        <v>83</v>
      </c>
      <c r="D43" s="16" t="s">
        <v>56</v>
      </c>
      <c r="E43" s="105">
        <v>46206</v>
      </c>
      <c r="F43" s="18">
        <v>9836.3</v>
      </c>
      <c r="G43" s="19">
        <v>11</v>
      </c>
      <c r="H43" s="18">
        <v>108199.3</v>
      </c>
      <c r="I43" s="16" t="s">
        <v>28</v>
      </c>
      <c r="J43" s="16" t="s">
        <v>48</v>
      </c>
      <c r="K43" s="90">
        <f t="shared" si="13"/>
        <v>11</v>
      </c>
      <c r="L43" s="106">
        <v>10.18</v>
      </c>
      <c r="M43" s="90">
        <f>_xlfn.IFNA(VLOOKUP(I43,Inputs!D:E,2,FALSE),0)</f>
        <v>4</v>
      </c>
      <c r="N43" s="90">
        <f>_xlfn.IFNA(VLOOKUP(D43,Inputs!G:H,2,FALSE),0)</f>
        <v>11</v>
      </c>
      <c r="O43" s="90">
        <f>_xlfn.IFNA(VLOOKUP(D43,Inputs!K:L,2,FALSE),0)</f>
        <v>10</v>
      </c>
      <c r="P43" s="107">
        <v>18.34</v>
      </c>
      <c r="Q43" s="90">
        <f t="shared" si="14"/>
        <v>32.0388</v>
      </c>
      <c r="S43" s="108"/>
      <c r="T43" s="109">
        <f t="shared" si="15"/>
        <v>10.0730643402399</v>
      </c>
      <c r="U43" s="94">
        <f t="shared" si="16"/>
        <v>536.330425299891</v>
      </c>
      <c r="V43" s="95">
        <f t="shared" si="17"/>
        <v>100133.534</v>
      </c>
    </row>
    <row r="44" spans="1:39">
      <c r="B44" s="103" t="s">
        <v>84</v>
      </c>
      <c r="C44" s="104" t="s">
        <v>60</v>
      </c>
      <c r="D44" s="16" t="s">
        <v>36</v>
      </c>
      <c r="E44" s="105">
        <v>46212</v>
      </c>
      <c r="F44" s="18">
        <v>24026.78</v>
      </c>
      <c r="G44" s="19">
        <v>9.75</v>
      </c>
      <c r="H44" s="18">
        <v>234261.105</v>
      </c>
      <c r="I44" s="16" t="s">
        <v>28</v>
      </c>
      <c r="J44" s="16" t="s">
        <v>48</v>
      </c>
      <c r="K44" s="90">
        <f t="shared" si="13"/>
        <v>9.75</v>
      </c>
      <c r="L44" s="106">
        <v>8.27</v>
      </c>
      <c r="M44" s="90">
        <f>_xlfn.IFNA(VLOOKUP(I44,Inputs!D:E,2,FALSE),0)</f>
        <v>4</v>
      </c>
      <c r="N44" s="90">
        <f>_xlfn.IFNA(VLOOKUP(D44,Inputs!G:H,2,FALSE),0)</f>
        <v>6</v>
      </c>
      <c r="O44" s="90">
        <f>_xlfn.IFNA(VLOOKUP(D44,Inputs!K:L,2,FALSE),0)</f>
        <v>0</v>
      </c>
      <c r="P44" s="107">
        <v>16.63</v>
      </c>
      <c r="Q44" s="90">
        <f t="shared" si="14"/>
        <v>26.6124</v>
      </c>
      <c r="S44" s="108"/>
      <c r="T44" s="109">
        <f t="shared" si="15"/>
        <v>7.82576668671076</v>
      </c>
      <c r="U44" s="94">
        <f t="shared" si="16"/>
        <v>1444.78532772099</v>
      </c>
      <c r="V44" s="95">
        <f t="shared" si="17"/>
        <v>198701.4706</v>
      </c>
    </row>
    <row r="45" spans="1:39">
      <c r="B45" s="103" t="s">
        <v>85</v>
      </c>
      <c r="C45" s="104" t="s">
        <v>60</v>
      </c>
      <c r="D45" s="16" t="s">
        <v>36</v>
      </c>
      <c r="E45" s="105">
        <v>46226</v>
      </c>
      <c r="F45" s="18">
        <v>23066.56</v>
      </c>
      <c r="G45" s="19">
        <v>9.75</v>
      </c>
      <c r="H45" s="18">
        <v>224898.96</v>
      </c>
      <c r="I45" s="16" t="s">
        <v>28</v>
      </c>
      <c r="J45" s="16" t="s">
        <v>48</v>
      </c>
      <c r="K45" s="90">
        <f t="shared" si="13"/>
        <v>9.75</v>
      </c>
      <c r="L45" s="106">
        <v>7.93</v>
      </c>
      <c r="M45" s="90">
        <f>_xlfn.IFNA(VLOOKUP(I45,Inputs!D:E,2,FALSE),0)</f>
        <v>4</v>
      </c>
      <c r="N45" s="90">
        <f>_xlfn.IFNA(VLOOKUP(D45,Inputs!G:H,2,FALSE),0)</f>
        <v>6</v>
      </c>
      <c r="O45" s="90">
        <f>_xlfn.IFNA(VLOOKUP(D45,Inputs!K:L,2,FALSE),0)</f>
        <v>0</v>
      </c>
      <c r="P45" s="107">
        <v>12.64</v>
      </c>
      <c r="Q45" s="90">
        <f t="shared" si="14"/>
        <v>25.0048</v>
      </c>
      <c r="S45" s="108"/>
      <c r="T45" s="109">
        <f t="shared" si="15"/>
        <v>7.21835443037975</v>
      </c>
      <c r="U45" s="94">
        <f t="shared" si="16"/>
        <v>1824.88607594937</v>
      </c>
      <c r="V45" s="95">
        <f t="shared" si="17"/>
        <v>182917.8208</v>
      </c>
    </row>
    <row r="46" spans="1:39">
      <c r="B46" s="103" t="s">
        <v>86</v>
      </c>
      <c r="C46" s="104" t="s">
        <v>65</v>
      </c>
      <c r="D46" s="16" t="s">
        <v>56</v>
      </c>
      <c r="E46" s="105">
        <v>46227</v>
      </c>
      <c r="F46" s="18">
        <v>950.75</v>
      </c>
      <c r="G46" s="19">
        <v>12.2</v>
      </c>
      <c r="H46" s="18">
        <v>9966.982</v>
      </c>
      <c r="I46" s="16" t="s">
        <v>66</v>
      </c>
      <c r="J46" s="16" t="s">
        <v>48</v>
      </c>
      <c r="K46" s="90">
        <f t="shared" si="13"/>
        <v>12.2</v>
      </c>
      <c r="L46" s="106">
        <v>10.6</v>
      </c>
      <c r="M46" s="90">
        <f>_xlfn.IFNA(VLOOKUP(I46,Inputs!D:E,2,FALSE),0)</f>
        <v>7</v>
      </c>
      <c r="N46" s="90">
        <f>_xlfn.IFNA(VLOOKUP(D46,Inputs!G:H,2,FALSE),0)</f>
        <v>11</v>
      </c>
      <c r="O46" s="90">
        <f>_xlfn.IFNA(VLOOKUP(D46,Inputs!K:L,2,FALSE),0)</f>
        <v>10</v>
      </c>
      <c r="P46" s="107">
        <v>15.96</v>
      </c>
      <c r="Q46" s="90">
        <f t="shared" si="14"/>
        <v>39.536</v>
      </c>
      <c r="S46" s="108"/>
      <c r="T46" s="109">
        <f t="shared" si="15"/>
        <v>10.9468671679198</v>
      </c>
      <c r="U46" s="94">
        <f t="shared" si="16"/>
        <v>59.5708020050125</v>
      </c>
      <c r="V46" s="95">
        <f t="shared" si="17"/>
        <v>10077.95</v>
      </c>
    </row>
    <row r="47" spans="1:39">
      <c r="B47" s="103" t="s">
        <v>87</v>
      </c>
      <c r="C47" s="104" t="s">
        <v>46</v>
      </c>
      <c r="D47" s="16" t="s">
        <v>47</v>
      </c>
      <c r="E47" s="105">
        <v>46233</v>
      </c>
      <c r="F47" s="18">
        <v>25008.58</v>
      </c>
      <c r="G47" s="19">
        <v>6.85</v>
      </c>
      <c r="H47" s="18">
        <f>+F47*G47</f>
        <v>171308.773</v>
      </c>
      <c r="I47" s="16" t="s">
        <v>28</v>
      </c>
      <c r="J47" s="16" t="s">
        <v>48</v>
      </c>
      <c r="K47" s="90">
        <f t="shared" si="13"/>
        <v>6.85</v>
      </c>
      <c r="L47" s="106">
        <v>3.2</v>
      </c>
      <c r="M47" s="90">
        <f>_xlfn.IFNA(VLOOKUP(I47,Inputs!D:E,2,FALSE),0)</f>
        <v>4</v>
      </c>
      <c r="N47" s="90">
        <f>_xlfn.IFNA(VLOOKUP(D47,Inputs!G:H,2,FALSE),0)</f>
        <v>11</v>
      </c>
      <c r="O47" s="90">
        <f>_xlfn.IFNA(VLOOKUP(D47,Inputs!K:L,2,FALSE),0)</f>
        <v>12</v>
      </c>
      <c r="P47" s="107">
        <v>18.2</v>
      </c>
      <c r="Q47" s="90">
        <f t="shared" si="14"/>
        <v>85.43</v>
      </c>
      <c r="S47" s="108"/>
      <c r="T47" s="109">
        <f t="shared" si="15"/>
        <v>6.02582417582418</v>
      </c>
      <c r="U47" s="94">
        <f t="shared" si="16"/>
        <v>1374.0978021978</v>
      </c>
      <c r="V47" s="95">
        <f t="shared" si="17"/>
        <v>80027.456</v>
      </c>
    </row>
    <row r="48" spans="1:39">
      <c r="B48" s="104" t="s">
        <v>88</v>
      </c>
      <c r="C48" s="104" t="s">
        <v>89</v>
      </c>
      <c r="D48" s="16" t="s">
        <v>36</v>
      </c>
      <c r="E48" s="105">
        <v>46233</v>
      </c>
      <c r="F48" s="18">
        <v>2151.7</v>
      </c>
      <c r="G48" s="19">
        <v>13.3</v>
      </c>
      <c r="H48" s="18">
        <v>28617.61</v>
      </c>
      <c r="I48" s="16" t="s">
        <v>41</v>
      </c>
      <c r="J48" s="16" t="s">
        <v>29</v>
      </c>
      <c r="K48" s="90">
        <f t="shared" ref="K48:K52" si="18">IF(J48="CIF",G48-0.3,G48)</f>
        <v>13</v>
      </c>
      <c r="L48" s="106">
        <v>7.8</v>
      </c>
      <c r="M48" s="90">
        <f>_xlfn.IFNA(VLOOKUP(I48,Inputs!D:E,2,FALSE),0)</f>
        <v>2</v>
      </c>
      <c r="N48" s="90">
        <f>_xlfn.IFNA(VLOOKUP(D48,Inputs!G:H,2,FALSE),0)</f>
        <v>6</v>
      </c>
      <c r="O48" s="90">
        <f>_xlfn.IFNA(VLOOKUP(D48,Inputs!K:L,2,FALSE),0)</f>
        <v>0</v>
      </c>
      <c r="P48" s="107">
        <v>14.55</v>
      </c>
      <c r="Q48" s="90">
        <f t="shared" ref="Q48:Q52" si="19">IF(P48&gt;0,(K48-L48)*P48+N48+O48-M48,0)</f>
        <v>79.66</v>
      </c>
      <c r="R48" s="74">
        <v>16500</v>
      </c>
      <c r="S48" s="108"/>
      <c r="T48" s="109">
        <f t="shared" ref="T48:T51" si="20">IF(P48&gt;0,(K48)-((34+M48-O48-N48)/P48),0)</f>
        <v>10.9381443298969</v>
      </c>
      <c r="U48" s="94">
        <f t="shared" ref="U48:U52" si="21">IF(P48&gt;0,(F48/P48),0)</f>
        <v>147.883161512027</v>
      </c>
      <c r="V48" s="95">
        <f t="shared" ref="V48:V52" si="22">(L48*F48)</f>
        <v>16783.26</v>
      </c>
    </row>
    <row r="49" spans="2:22">
      <c r="B49" s="104" t="s">
        <v>88</v>
      </c>
      <c r="C49" s="104" t="s">
        <v>89</v>
      </c>
      <c r="D49" s="16" t="s">
        <v>56</v>
      </c>
      <c r="E49" s="105">
        <v>46233</v>
      </c>
      <c r="F49" s="18">
        <v>248.05</v>
      </c>
      <c r="G49" s="19">
        <v>13.85</v>
      </c>
      <c r="H49" s="18">
        <v>3435.4925</v>
      </c>
      <c r="I49" s="16" t="s">
        <v>41</v>
      </c>
      <c r="J49" s="16" t="s">
        <v>29</v>
      </c>
      <c r="K49" s="90">
        <f t="shared" si="18"/>
        <v>13.55</v>
      </c>
      <c r="L49" s="106">
        <v>10.6</v>
      </c>
      <c r="M49" s="90">
        <f>_xlfn.IFNA(VLOOKUP(I49,Inputs!D:E,2,FALSE),0)</f>
        <v>2</v>
      </c>
      <c r="N49" s="90">
        <f>_xlfn.IFNA(VLOOKUP(D49,Inputs!G:H,2,FALSE),0)</f>
        <v>11</v>
      </c>
      <c r="O49" s="90">
        <f>_xlfn.IFNA(VLOOKUP(D49,Inputs!K:L,2,FALSE),0)</f>
        <v>10</v>
      </c>
      <c r="P49" s="107">
        <v>14</v>
      </c>
      <c r="Q49" s="90">
        <f t="shared" si="19"/>
        <v>60.3</v>
      </c>
      <c r="R49" s="74">
        <v>16500</v>
      </c>
      <c r="S49" s="108"/>
      <c r="T49" s="109">
        <f t="shared" si="20"/>
        <v>12.4785714285714</v>
      </c>
      <c r="U49" s="94">
        <f t="shared" si="21"/>
        <v>17.7178571428571</v>
      </c>
      <c r="V49" s="95">
        <f t="shared" si="22"/>
        <v>2629.33</v>
      </c>
    </row>
    <row r="50" spans="2:22">
      <c r="B50" s="104" t="s">
        <v>90</v>
      </c>
      <c r="C50" s="104" t="s">
        <v>89</v>
      </c>
      <c r="D50" s="16" t="s">
        <v>36</v>
      </c>
      <c r="E50" s="105">
        <v>46238</v>
      </c>
      <c r="F50" s="18">
        <v>1131.73</v>
      </c>
      <c r="G50" s="19">
        <v>13.3</v>
      </c>
      <c r="H50" s="18">
        <v>15052.009</v>
      </c>
      <c r="I50" s="16" t="s">
        <v>41</v>
      </c>
      <c r="J50" s="16" t="s">
        <v>29</v>
      </c>
      <c r="K50" s="90">
        <f t="shared" si="18"/>
        <v>13</v>
      </c>
      <c r="L50" s="106">
        <v>7.9</v>
      </c>
      <c r="M50" s="90">
        <f>_xlfn.IFNA(VLOOKUP(I50,Inputs!D:E,2,FALSE),0)</f>
        <v>2</v>
      </c>
      <c r="N50" s="90">
        <f>_xlfn.IFNA(VLOOKUP(D50,Inputs!G:H,2,FALSE),0)</f>
        <v>6</v>
      </c>
      <c r="O50" s="90">
        <f>_xlfn.IFNA(VLOOKUP(D50,Inputs!K:L,2,FALSE),0)</f>
        <v>0</v>
      </c>
      <c r="P50" s="107">
        <v>13.23</v>
      </c>
      <c r="Q50" s="90">
        <f t="shared" si="19"/>
        <v>71.473</v>
      </c>
      <c r="R50" s="74">
        <v>15734.59</v>
      </c>
      <c r="S50" s="108"/>
      <c r="T50" s="109">
        <f t="shared" si="20"/>
        <v>10.7324263038549</v>
      </c>
      <c r="U50" s="94">
        <f t="shared" si="21"/>
        <v>85.5427059712774</v>
      </c>
      <c r="V50" s="95">
        <f t="shared" si="22"/>
        <v>8940.667</v>
      </c>
    </row>
    <row r="51" spans="2:22">
      <c r="B51" s="103" t="s">
        <v>90</v>
      </c>
      <c r="C51" s="104" t="s">
        <v>89</v>
      </c>
      <c r="D51" s="16" t="s">
        <v>56</v>
      </c>
      <c r="E51" s="105">
        <v>46238</v>
      </c>
      <c r="F51" s="18">
        <v>149.25</v>
      </c>
      <c r="G51" s="19">
        <v>13.85</v>
      </c>
      <c r="H51" s="18">
        <v>2067.1125</v>
      </c>
      <c r="I51" s="16" t="s">
        <v>41</v>
      </c>
      <c r="J51" s="16" t="s">
        <v>29</v>
      </c>
      <c r="K51" s="90">
        <f t="shared" si="18"/>
        <v>13.55</v>
      </c>
      <c r="L51" s="111">
        <v>10.38</v>
      </c>
      <c r="M51" s="90">
        <v>2</v>
      </c>
      <c r="N51" s="90">
        <f>_xlfn.IFNA(VLOOKUP(D51,Inputs!G:H,2,FALSE),0)</f>
        <v>11</v>
      </c>
      <c r="O51" s="90">
        <f>_xlfn.IFNA(VLOOKUP(D51,Inputs!K:L,2,FALSE),0)</f>
        <v>10</v>
      </c>
      <c r="P51" s="107">
        <v>17.07</v>
      </c>
      <c r="Q51" s="90">
        <f t="shared" si="19"/>
        <v>73.1119</v>
      </c>
      <c r="R51" s="74">
        <v>16000</v>
      </c>
      <c r="S51" s="108"/>
      <c r="T51" s="109">
        <f t="shared" si="20"/>
        <v>12.6712653778559</v>
      </c>
      <c r="U51" s="94">
        <f t="shared" si="21"/>
        <v>8.74340949033392</v>
      </c>
      <c r="V51" s="95">
        <f t="shared" si="22"/>
        <v>1549.215</v>
      </c>
    </row>
    <row r="52" spans="2:22">
      <c r="B52" s="103" t="s">
        <v>91</v>
      </c>
      <c r="C52" s="104" t="s">
        <v>81</v>
      </c>
      <c r="D52" s="16" t="s">
        <v>47</v>
      </c>
      <c r="E52" s="105">
        <v>46240</v>
      </c>
      <c r="F52" s="18">
        <v>24919.62</v>
      </c>
      <c r="G52" s="19">
        <v>6.65</v>
      </c>
      <c r="H52" s="18">
        <v>165715.47</v>
      </c>
      <c r="I52" s="16" t="s">
        <v>28</v>
      </c>
      <c r="J52" s="16" t="s">
        <v>48</v>
      </c>
      <c r="K52" s="90">
        <f t="shared" si="18"/>
        <v>6.65</v>
      </c>
      <c r="L52" s="106">
        <v>3.37</v>
      </c>
      <c r="M52" s="90">
        <f>_xlfn.IFNA(VLOOKUP(I52,Inputs!D:E,2,FALSE),0)</f>
        <v>4</v>
      </c>
      <c r="N52" s="90">
        <f>_xlfn.IFNA(VLOOKUP(D52,Inputs!G:H,2,FALSE),0)</f>
        <v>11</v>
      </c>
      <c r="O52" s="90">
        <f>_xlfn.IFNA(VLOOKUP(D52,Inputs!K:L,2,FALSE),0)</f>
        <v>12</v>
      </c>
      <c r="P52" s="107">
        <v>18</v>
      </c>
      <c r="Q52" s="90">
        <f t="shared" si="19"/>
        <v>78.04</v>
      </c>
      <c r="S52" s="108"/>
      <c r="T52" s="109">
        <f>IF(P52&gt;0,(K52)-((40+M52-O52-N52)/P52),0)</f>
        <v>5.48333333333333</v>
      </c>
      <c r="U52" s="94">
        <f t="shared" si="21"/>
        <v>1384.42333333333</v>
      </c>
      <c r="V52" s="95">
        <f t="shared" si="22"/>
        <v>83979.1194</v>
      </c>
    </row>
    <row r="53" spans="2:22">
      <c r="F53" s="98">
        <f>SUM(F37:F52)</f>
        <v>238844.44</v>
      </c>
      <c r="G53" s="99">
        <f>(H53/F53)</f>
        <v>8.70726704137878</v>
      </c>
      <c r="H53" s="98">
        <f>SUM(H37:H52)</f>
        <v>2079682.32042857</v>
      </c>
      <c r="R53" s="98">
        <f>SUM(R37:R51)</f>
        <v>64734.59</v>
      </c>
    </row>
  </sheetData>
  <autoFilter xmlns:etc="http://www.wps.cn/officeDocument/2017/etCustomData" ref="B4:V32" etc:filterBottomFollowUsedRange="0">
    <filterColumn colId="15">
      <colorFilter dxfId="4"/>
    </filterColumn>
    <extLst/>
  </autoFilter>
  <mergeCells count="2">
    <mergeCell ref="B2:H2"/>
    <mergeCell ref="B35:J35"/>
  </mergeCells>
  <conditionalFormatting sqref="Q5:Q35 Q37:Q52">
    <cfRule type="cellIs" dxfId="5" priority="1" operator="lessThan">
      <formula>30</formula>
    </cfRule>
    <cfRule type="cellIs" dxfId="6" priority="2" operator="between">
      <formula>30</formula>
      <formula>40</formula>
    </cfRule>
    <cfRule type="cellIs" dxfId="7" priority="3" operator="greaterThan">
      <formula>40</formula>
    </cfRule>
  </conditionalFormatting>
  <dataValidations count="2">
    <dataValidation type="list" allowBlank="1" showInputMessage="1" showErrorMessage="1" sqref="I5:I34 I37:I52">
      <formula1>Inputs!$D$3:$D$5</formula1>
    </dataValidation>
    <dataValidation type="list" allowBlank="1" showInputMessage="1" showErrorMessage="1" sqref="J5:J15 J37:J47">
      <formula1>Inputs!$B$3:$B$4</formula1>
    </dataValidation>
  </dataValidations>
  <pageMargins left="0.708661417322835" right="0.708661417322835" top="0.748031496062992" bottom="0.748031496062992" header="0.31496062992126" footer="0.31496062992126"/>
  <pageSetup paperSize="8" scale="62" orientation="landscape"/>
  <headerFooter/>
  <colBreaks count="1" manualBreakCount="1">
    <brk id="2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M62"/>
  <sheetViews>
    <sheetView tabSelected="1" zoomScale="80" zoomScaleNormal="80" workbookViewId="0">
      <pane ySplit="4" topLeftCell="A20" activePane="bottomLeft" state="frozen"/>
      <selection/>
      <selection pane="bottomLeft" activeCell="L31" sqref="L31"/>
    </sheetView>
  </sheetViews>
  <sheetFormatPr defaultColWidth="9" defaultRowHeight="14.4"/>
  <cols>
    <col min="1" max="1" width="4" style="40" customWidth="1"/>
    <col min="2" max="2" width="13.287037037037" customWidth="1"/>
    <col min="3" max="3" width="32.287037037037" customWidth="1"/>
    <col min="5" max="5" width="15.5740740740741" customWidth="1"/>
    <col min="6" max="6" width="18" customWidth="1"/>
    <col min="7" max="7" width="7.57407407407407" customWidth="1"/>
    <col min="8" max="8" width="19.287037037037" customWidth="1"/>
    <col min="9" max="9" width="14.712962962963" style="1" customWidth="1"/>
    <col min="10" max="10" width="9.13888888888889" style="1" customWidth="1"/>
    <col min="11" max="11" width="7.57407407407407" style="1" customWidth="1"/>
    <col min="12" max="12" width="16.712962962963" style="1" customWidth="1"/>
    <col min="13" max="15" width="9.71296296296296" style="1" customWidth="1"/>
    <col min="16" max="16" width="15.4259259259259" style="1" customWidth="1"/>
    <col min="17" max="17" width="9.71296296296296" style="1" customWidth="1"/>
    <col min="18" max="18" width="17.712962962963" style="74" customWidth="1"/>
    <col min="19" max="19" width="25.4259259259259" style="41" customWidth="1"/>
    <col min="20" max="20" width="16.712962962963" style="41" customWidth="1"/>
    <col min="21" max="21" width="13.4259259259259" style="41" customWidth="1"/>
    <col min="22" max="22" width="13" style="40" customWidth="1"/>
    <col min="23" max="38" width="9.13888888888889" style="40"/>
  </cols>
  <sheetData>
    <row r="1" s="40" customFormat="1" ht="15.15" spans="2:21">
      <c r="I1" s="41"/>
      <c r="J1" s="41"/>
      <c r="K1" s="41"/>
      <c r="L1" s="41"/>
      <c r="M1" s="41"/>
      <c r="N1" s="41"/>
      <c r="O1" s="41"/>
      <c r="P1" s="41"/>
      <c r="Q1" s="41"/>
      <c r="R1" s="75"/>
      <c r="S1" s="41"/>
      <c r="T1" s="41"/>
      <c r="U1" s="41"/>
    </row>
    <row r="2" s="40" customFormat="1" ht="15.15" spans="2:21">
      <c r="B2" s="76" t="s">
        <v>92</v>
      </c>
      <c r="C2" s="77"/>
      <c r="D2" s="77"/>
      <c r="E2" s="77"/>
      <c r="F2" s="77"/>
      <c r="G2" s="77"/>
      <c r="H2" s="77"/>
      <c r="I2" s="77"/>
      <c r="J2" s="77"/>
      <c r="K2" s="41"/>
      <c r="L2" s="78" t="s">
        <v>93</v>
      </c>
      <c r="M2" s="41"/>
      <c r="N2" s="41"/>
      <c r="O2" s="41"/>
      <c r="P2" s="79" t="s">
        <v>93</v>
      </c>
      <c r="Q2" s="41"/>
      <c r="R2" s="75"/>
      <c r="S2" s="41"/>
      <c r="T2" s="41"/>
      <c r="U2" s="41"/>
    </row>
    <row r="3" s="40" customFormat="1" ht="15.15" spans="2:21">
      <c r="I3" s="41"/>
      <c r="J3" s="41"/>
      <c r="K3" s="41"/>
      <c r="L3" s="41"/>
      <c r="M3" s="41"/>
      <c r="N3" s="41"/>
      <c r="O3" s="41"/>
      <c r="P3" s="41"/>
      <c r="Q3" s="41"/>
      <c r="R3" s="75"/>
      <c r="S3" s="41"/>
      <c r="T3" s="41"/>
      <c r="U3" s="41"/>
    </row>
    <row r="4" ht="45" customHeight="1" spans="2:21">
      <c r="B4" s="80" t="s">
        <v>94</v>
      </c>
      <c r="C4" s="80" t="s">
        <v>4</v>
      </c>
      <c r="D4" s="80" t="s">
        <v>5</v>
      </c>
      <c r="E4" s="81" t="s">
        <v>6</v>
      </c>
      <c r="F4" s="80" t="s">
        <v>7</v>
      </c>
      <c r="G4" s="80" t="s">
        <v>8</v>
      </c>
      <c r="H4" s="80" t="s">
        <v>9</v>
      </c>
      <c r="I4" s="82" t="s">
        <v>10</v>
      </c>
      <c r="J4" s="14" t="s">
        <v>11</v>
      </c>
      <c r="K4" s="14" t="s">
        <v>12</v>
      </c>
      <c r="L4" s="82" t="s">
        <v>95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83" t="s">
        <v>19</v>
      </c>
      <c r="S4" s="84" t="s">
        <v>96</v>
      </c>
      <c r="T4" s="85" t="s">
        <v>22</v>
      </c>
      <c r="U4" s="85" t="s">
        <v>23</v>
      </c>
    </row>
    <row r="5" s="40" customFormat="1" ht="15.6" customHeight="1" spans="2:21">
      <c r="B5" s="86" t="s">
        <v>24</v>
      </c>
      <c r="C5" s="86" t="s">
        <v>25</v>
      </c>
      <c r="D5" s="87" t="s">
        <v>26</v>
      </c>
      <c r="E5" s="86" t="s">
        <v>27</v>
      </c>
      <c r="F5" s="88">
        <v>25000</v>
      </c>
      <c r="G5" s="89">
        <v>10.1449275362319</v>
      </c>
      <c r="H5" s="88">
        <v>250000</v>
      </c>
      <c r="I5" s="87" t="s">
        <v>28</v>
      </c>
      <c r="J5" s="87" t="s">
        <v>29</v>
      </c>
      <c r="K5" s="90">
        <f>IF(J5="CIF",G5-0.3,G5)</f>
        <v>9.84492753623188</v>
      </c>
      <c r="L5" s="91">
        <v>8.4</v>
      </c>
      <c r="M5" s="90">
        <f>_xlfn.IFNA(VLOOKUP(I5,Inputs!D:E,2,FALSE),0)</f>
        <v>4</v>
      </c>
      <c r="N5" s="90">
        <f>_xlfn.IFNA(VLOOKUP(D5,Inputs!G:H,2,FALSE),0)</f>
        <v>8</v>
      </c>
      <c r="O5" s="90">
        <f>_xlfn.IFNA(VLOOKUP(D5,Inputs!K:L,2,FALSE),0)</f>
        <v>10</v>
      </c>
      <c r="P5" s="92">
        <v>22</v>
      </c>
      <c r="Q5" s="90">
        <f>(K5-L5)*P5+N5+O5-M5</f>
        <v>45.7884057971014</v>
      </c>
      <c r="R5" s="74">
        <v>98502.9</v>
      </c>
      <c r="S5" s="93">
        <f>K5/(VLOOKUP(D5,Inputs!R:S,2,FALSE)+1)</f>
        <v>8.20410628019324</v>
      </c>
      <c r="T5" s="94">
        <f>IF(P5&gt;0,(F5/P5),0)</f>
        <v>1136.36363636364</v>
      </c>
      <c r="U5" s="95">
        <f>(L5*F5)</f>
        <v>210000</v>
      </c>
    </row>
    <row r="6" s="40" customFormat="1" ht="15.6" customHeight="1" spans="2:21">
      <c r="B6" s="86" t="s">
        <v>30</v>
      </c>
      <c r="C6" s="86" t="s">
        <v>25</v>
      </c>
      <c r="D6" s="87" t="s">
        <v>26</v>
      </c>
      <c r="E6" s="86" t="s">
        <v>27</v>
      </c>
      <c r="F6" s="88">
        <v>25000</v>
      </c>
      <c r="G6" s="89">
        <v>10.1449275362319</v>
      </c>
      <c r="H6" s="88">
        <v>250000</v>
      </c>
      <c r="I6" s="87" t="s">
        <v>28</v>
      </c>
      <c r="J6" s="87" t="s">
        <v>29</v>
      </c>
      <c r="K6" s="90">
        <f t="shared" ref="K6:K16" si="0">IF(J6="CIF",G6-0.3,G6)</f>
        <v>9.84492753623188</v>
      </c>
      <c r="L6" s="91">
        <v>8.4</v>
      </c>
      <c r="M6" s="90">
        <f>_xlfn.IFNA(VLOOKUP(I6,Inputs!D:E,2,FALSE),0)</f>
        <v>4</v>
      </c>
      <c r="N6" s="90">
        <f>_xlfn.IFNA(VLOOKUP(D6,Inputs!G:H,2,FALSE),0)</f>
        <v>8</v>
      </c>
      <c r="O6" s="90">
        <f>_xlfn.IFNA(VLOOKUP(D6,Inputs!K:L,2,FALSE),0)</f>
        <v>10</v>
      </c>
      <c r="P6" s="92">
        <v>22</v>
      </c>
      <c r="Q6" s="90">
        <f t="shared" ref="Q6:Q16" si="1">(K6-L6)*P6+N6+O6-M6</f>
        <v>45.7884057971014</v>
      </c>
      <c r="R6" s="74">
        <v>98502.9</v>
      </c>
      <c r="S6" s="93">
        <f>K6/(VLOOKUP(D6,Inputs!R:S,2,FALSE)+1)</f>
        <v>8.20410628019324</v>
      </c>
      <c r="T6" s="94">
        <f t="shared" ref="T6:T16" si="2">IF(P6&gt;0,(F6/P6),0)</f>
        <v>1136.36363636364</v>
      </c>
      <c r="U6" s="95">
        <f t="shared" ref="U6:U16" si="3">(L6*F6)</f>
        <v>210000</v>
      </c>
    </row>
    <row r="7" s="40" customFormat="1" spans="2:21">
      <c r="B7" s="86" t="s">
        <v>31</v>
      </c>
      <c r="C7" s="86" t="s">
        <v>32</v>
      </c>
      <c r="D7" s="87" t="s">
        <v>26</v>
      </c>
      <c r="E7" s="86" t="s">
        <v>27</v>
      </c>
      <c r="F7" s="88">
        <v>22000</v>
      </c>
      <c r="G7" s="89">
        <v>9.71014492753623</v>
      </c>
      <c r="H7" s="88">
        <v>210571.428571429</v>
      </c>
      <c r="I7" s="87" t="s">
        <v>28</v>
      </c>
      <c r="J7" s="87" t="s">
        <v>29</v>
      </c>
      <c r="K7" s="90">
        <f t="shared" si="0"/>
        <v>9.41014492753623</v>
      </c>
      <c r="L7" s="91">
        <v>8.4</v>
      </c>
      <c r="M7" s="90">
        <f>_xlfn.IFNA(VLOOKUP(I7,Inputs!D:E,2,FALSE),0)</f>
        <v>4</v>
      </c>
      <c r="N7" s="90">
        <f>_xlfn.IFNA(VLOOKUP(D7,Inputs!G:H,2,FALSE),0)</f>
        <v>8</v>
      </c>
      <c r="O7" s="90">
        <f>_xlfn.IFNA(VLOOKUP(D7,Inputs!K:L,2,FALSE),0)</f>
        <v>10</v>
      </c>
      <c r="P7" s="92">
        <v>28</v>
      </c>
      <c r="Q7" s="90">
        <f t="shared" si="1"/>
        <v>42.2840579710145</v>
      </c>
      <c r="R7" s="74">
        <v>0</v>
      </c>
      <c r="S7" s="93">
        <f>K7/(VLOOKUP(D7,Inputs!R:S,2,FALSE)+1)</f>
        <v>7.84178743961353</v>
      </c>
      <c r="T7" s="94">
        <f t="shared" si="2"/>
        <v>785.714285714286</v>
      </c>
      <c r="U7" s="95">
        <f t="shared" si="3"/>
        <v>184800</v>
      </c>
    </row>
    <row r="8" s="40" customFormat="1" spans="2:21">
      <c r="B8" s="86" t="s">
        <v>33</v>
      </c>
      <c r="C8" s="86" t="s">
        <v>32</v>
      </c>
      <c r="D8" s="87" t="s">
        <v>26</v>
      </c>
      <c r="E8" s="86" t="s">
        <v>27</v>
      </c>
      <c r="F8" s="88">
        <v>25000</v>
      </c>
      <c r="G8" s="89">
        <v>10.0724637681159</v>
      </c>
      <c r="H8" s="88">
        <v>248214.285714286</v>
      </c>
      <c r="I8" s="87" t="s">
        <v>28</v>
      </c>
      <c r="J8" s="87" t="s">
        <v>29</v>
      </c>
      <c r="K8" s="90">
        <f t="shared" si="0"/>
        <v>9.77246376811594</v>
      </c>
      <c r="L8" s="91">
        <v>8.4</v>
      </c>
      <c r="M8" s="90">
        <f>_xlfn.IFNA(VLOOKUP(I8,Inputs!D:E,2,FALSE),0)</f>
        <v>4</v>
      </c>
      <c r="N8" s="90">
        <f>_xlfn.IFNA(VLOOKUP(D8,Inputs!G:H,2,FALSE),0)</f>
        <v>8</v>
      </c>
      <c r="O8" s="90">
        <f>_xlfn.IFNA(VLOOKUP(D8,Inputs!K:L,2,FALSE),0)</f>
        <v>10</v>
      </c>
      <c r="P8" s="92">
        <v>22</v>
      </c>
      <c r="Q8" s="90">
        <f t="shared" si="1"/>
        <v>44.1942028985507</v>
      </c>
      <c r="R8" s="74">
        <v>0</v>
      </c>
      <c r="S8" s="93">
        <f>K8/(VLOOKUP(D8,Inputs!R:S,2,FALSE)+1)</f>
        <v>8.14371980676329</v>
      </c>
      <c r="T8" s="94">
        <f t="shared" si="2"/>
        <v>1136.36363636364</v>
      </c>
      <c r="U8" s="95">
        <f t="shared" si="3"/>
        <v>210000</v>
      </c>
    </row>
    <row r="9" s="40" customFormat="1" spans="2:21">
      <c r="B9" s="86" t="s">
        <v>34</v>
      </c>
      <c r="C9" s="86" t="s">
        <v>35</v>
      </c>
      <c r="D9" s="87" t="s">
        <v>36</v>
      </c>
      <c r="E9" s="86" t="s">
        <v>27</v>
      </c>
      <c r="F9" s="88">
        <v>24999</v>
      </c>
      <c r="G9" s="89">
        <v>10</v>
      </c>
      <c r="H9" s="88">
        <v>246418.714285714</v>
      </c>
      <c r="I9" s="87" t="s">
        <v>28</v>
      </c>
      <c r="J9" s="87" t="s">
        <v>29</v>
      </c>
      <c r="K9" s="90">
        <f t="shared" si="0"/>
        <v>9.7</v>
      </c>
      <c r="L9" s="91">
        <v>7.7</v>
      </c>
      <c r="M9" s="90">
        <f>_xlfn.IFNA(VLOOKUP(I9,Inputs!D:E,2,FALSE),0)</f>
        <v>4</v>
      </c>
      <c r="N9" s="90">
        <f>_xlfn.IFNA(VLOOKUP(D9,Inputs!G:H,2,FALSE),0)</f>
        <v>6</v>
      </c>
      <c r="O9" s="90">
        <f>_xlfn.IFNA(VLOOKUP(D9,Inputs!K:L,2,FALSE),0)</f>
        <v>0</v>
      </c>
      <c r="P9" s="92">
        <v>14</v>
      </c>
      <c r="Q9" s="90">
        <f t="shared" si="1"/>
        <v>30</v>
      </c>
      <c r="R9" s="74">
        <v>120377.995</v>
      </c>
      <c r="S9" s="93">
        <f>K9/(VLOOKUP(D9,Inputs!R:S,2,FALSE)+1)</f>
        <v>7.46153846153846</v>
      </c>
      <c r="T9" s="94">
        <f t="shared" si="2"/>
        <v>1785.64285714286</v>
      </c>
      <c r="U9" s="95">
        <f t="shared" si="3"/>
        <v>192492.3</v>
      </c>
    </row>
    <row r="10" s="40" customFormat="1" spans="2:21">
      <c r="B10" s="86" t="s">
        <v>37</v>
      </c>
      <c r="C10" s="86" t="s">
        <v>35</v>
      </c>
      <c r="D10" s="87" t="s">
        <v>36</v>
      </c>
      <c r="E10" s="86" t="s">
        <v>27</v>
      </c>
      <c r="F10" s="88">
        <v>24999</v>
      </c>
      <c r="G10" s="89">
        <v>10</v>
      </c>
      <c r="H10" s="88">
        <v>246418.714285714</v>
      </c>
      <c r="I10" s="87" t="s">
        <v>28</v>
      </c>
      <c r="J10" s="87" t="s">
        <v>29</v>
      </c>
      <c r="K10" s="90">
        <f t="shared" si="0"/>
        <v>9.7</v>
      </c>
      <c r="L10" s="91">
        <v>7.7</v>
      </c>
      <c r="M10" s="90">
        <f>_xlfn.IFNA(VLOOKUP(I10,Inputs!D:E,2,FALSE),0)</f>
        <v>4</v>
      </c>
      <c r="N10" s="90">
        <f>_xlfn.IFNA(VLOOKUP(D10,Inputs!G:H,2,FALSE),0)</f>
        <v>6</v>
      </c>
      <c r="O10" s="90">
        <f>_xlfn.IFNA(VLOOKUP(D10,Inputs!K:L,2,FALSE),0)</f>
        <v>0</v>
      </c>
      <c r="P10" s="92">
        <v>14</v>
      </c>
      <c r="Q10" s="90">
        <f t="shared" si="1"/>
        <v>30</v>
      </c>
      <c r="R10" s="74">
        <v>120377.995</v>
      </c>
      <c r="S10" s="93">
        <f>K10/(VLOOKUP(D10,Inputs!R:S,2,FALSE)+1)</f>
        <v>7.46153846153846</v>
      </c>
      <c r="T10" s="94">
        <f t="shared" si="2"/>
        <v>1785.64285714286</v>
      </c>
      <c r="U10" s="95">
        <f t="shared" si="3"/>
        <v>192492.3</v>
      </c>
    </row>
    <row r="11" s="40" customFormat="1" spans="2:21">
      <c r="B11" s="86" t="s">
        <v>38</v>
      </c>
      <c r="C11" s="86" t="s">
        <v>39</v>
      </c>
      <c r="D11" s="87" t="s">
        <v>36</v>
      </c>
      <c r="E11" s="86" t="s">
        <v>27</v>
      </c>
      <c r="F11" s="88">
        <v>24999</v>
      </c>
      <c r="G11" s="89">
        <v>10</v>
      </c>
      <c r="H11" s="88">
        <v>246418.714285714</v>
      </c>
      <c r="I11" s="87" t="s">
        <v>28</v>
      </c>
      <c r="J11" s="87" t="s">
        <v>29</v>
      </c>
      <c r="K11" s="90">
        <f t="shared" si="0"/>
        <v>9.7</v>
      </c>
      <c r="L11" s="91">
        <v>7.7</v>
      </c>
      <c r="M11" s="90">
        <f>_xlfn.IFNA(VLOOKUP(I11,Inputs!D:E,2,FALSE),0)</f>
        <v>4</v>
      </c>
      <c r="N11" s="90">
        <f>_xlfn.IFNA(VLOOKUP(D11,Inputs!G:H,2,FALSE),0)</f>
        <v>6</v>
      </c>
      <c r="O11" s="90">
        <f>_xlfn.IFNA(VLOOKUP(D11,Inputs!K:L,2,FALSE),0)</f>
        <v>0</v>
      </c>
      <c r="P11" s="92">
        <v>14</v>
      </c>
      <c r="Q11" s="90">
        <f t="shared" si="1"/>
        <v>30</v>
      </c>
      <c r="R11" s="74">
        <v>72124.63</v>
      </c>
      <c r="S11" s="93">
        <f>K11/(VLOOKUP(D11,Inputs!R:S,2,FALSE)+1)</f>
        <v>7.46153846153846</v>
      </c>
      <c r="T11" s="94">
        <f t="shared" si="2"/>
        <v>1785.64285714286</v>
      </c>
      <c r="U11" s="95">
        <f t="shared" si="3"/>
        <v>192492.3</v>
      </c>
    </row>
    <row r="12" s="40" customFormat="1" spans="2:21">
      <c r="B12" s="86" t="s">
        <v>40</v>
      </c>
      <c r="C12" s="86" t="s">
        <v>35</v>
      </c>
      <c r="D12" s="87" t="s">
        <v>36</v>
      </c>
      <c r="E12" s="86" t="s">
        <v>27</v>
      </c>
      <c r="F12" s="88">
        <v>17000</v>
      </c>
      <c r="G12" s="89">
        <v>10.2898550724638</v>
      </c>
      <c r="H12" s="88">
        <v>172428.571428571</v>
      </c>
      <c r="I12" s="87" t="s">
        <v>41</v>
      </c>
      <c r="J12" s="87" t="s">
        <v>29</v>
      </c>
      <c r="K12" s="90">
        <f t="shared" si="0"/>
        <v>9.98985507246377</v>
      </c>
      <c r="L12" s="91">
        <v>7.7</v>
      </c>
      <c r="M12" s="90">
        <f>_xlfn.IFNA(VLOOKUP(I12,Inputs!D:E,2,FALSE),0)</f>
        <v>2</v>
      </c>
      <c r="N12" s="90">
        <f>_xlfn.IFNA(VLOOKUP(D12,Inputs!G:H,2,FALSE),0)</f>
        <v>6</v>
      </c>
      <c r="O12" s="90">
        <f>_xlfn.IFNA(VLOOKUP(D12,Inputs!K:L,2,FALSE),0)</f>
        <v>0</v>
      </c>
      <c r="P12" s="92">
        <v>10</v>
      </c>
      <c r="Q12" s="90">
        <f t="shared" si="1"/>
        <v>26.8985507246377</v>
      </c>
      <c r="R12" s="74">
        <v>171364.63</v>
      </c>
      <c r="S12" s="93">
        <f>K12/(VLOOKUP(D12,Inputs!R:S,2,FALSE)+1)</f>
        <v>7.68450390189521</v>
      </c>
      <c r="T12" s="94">
        <f t="shared" si="2"/>
        <v>1700</v>
      </c>
      <c r="U12" s="95">
        <f t="shared" si="3"/>
        <v>130900</v>
      </c>
    </row>
    <row r="13" s="40" customFormat="1" spans="2:21">
      <c r="B13" s="86" t="s">
        <v>43</v>
      </c>
      <c r="C13" s="86" t="s">
        <v>39</v>
      </c>
      <c r="D13" s="87" t="s">
        <v>26</v>
      </c>
      <c r="E13" s="86" t="s">
        <v>27</v>
      </c>
      <c r="F13" s="88">
        <v>25000</v>
      </c>
      <c r="G13" s="89">
        <v>9.85507246376812</v>
      </c>
      <c r="H13" s="88">
        <v>242857.142857143</v>
      </c>
      <c r="I13" s="87" t="s">
        <v>28</v>
      </c>
      <c r="J13" s="87" t="s">
        <v>29</v>
      </c>
      <c r="K13" s="90">
        <f t="shared" si="0"/>
        <v>9.55507246376812</v>
      </c>
      <c r="L13" s="91">
        <v>8.4</v>
      </c>
      <c r="M13" s="90">
        <f>_xlfn.IFNA(VLOOKUP(I13,Inputs!D:E,2,FALSE),0)</f>
        <v>4</v>
      </c>
      <c r="N13" s="90">
        <f>_xlfn.IFNA(VLOOKUP(D13,Inputs!G:H,2,FALSE),0)</f>
        <v>8</v>
      </c>
      <c r="O13" s="90">
        <f>_xlfn.IFNA(VLOOKUP(D13,Inputs!K:L,2,FALSE),0)</f>
        <v>10</v>
      </c>
      <c r="P13" s="92">
        <v>27</v>
      </c>
      <c r="Q13" s="90">
        <f t="shared" si="1"/>
        <v>45.1869565217391</v>
      </c>
      <c r="R13" s="74">
        <v>67384.7479534683</v>
      </c>
      <c r="S13" s="93">
        <f>K13/(VLOOKUP(D13,Inputs!R:S,2,FALSE)+1)</f>
        <v>7.96256038647343</v>
      </c>
      <c r="T13" s="94">
        <f t="shared" si="2"/>
        <v>925.925925925926</v>
      </c>
      <c r="U13" s="95">
        <f t="shared" si="3"/>
        <v>210000</v>
      </c>
    </row>
    <row r="14" s="40" customFormat="1" spans="2:21">
      <c r="B14" s="86" t="s">
        <v>44</v>
      </c>
      <c r="C14" s="86" t="s">
        <v>39</v>
      </c>
      <c r="D14" s="87" t="s">
        <v>26</v>
      </c>
      <c r="E14" s="86" t="s">
        <v>27</v>
      </c>
      <c r="F14" s="88">
        <v>25000</v>
      </c>
      <c r="G14" s="89">
        <v>9.85507246376812</v>
      </c>
      <c r="H14" s="88">
        <v>242857.142857143</v>
      </c>
      <c r="I14" s="87" t="s">
        <v>28</v>
      </c>
      <c r="J14" s="87" t="s">
        <v>29</v>
      </c>
      <c r="K14" s="90">
        <f t="shared" si="0"/>
        <v>9.55507246376812</v>
      </c>
      <c r="L14" s="91">
        <v>8.4</v>
      </c>
      <c r="M14" s="90">
        <f>_xlfn.IFNA(VLOOKUP(I14,Inputs!D:E,2,FALSE),0)</f>
        <v>4</v>
      </c>
      <c r="N14" s="90">
        <f>_xlfn.IFNA(VLOOKUP(D14,Inputs!G:H,2,FALSE),0)</f>
        <v>8</v>
      </c>
      <c r="O14" s="90">
        <f>_xlfn.IFNA(VLOOKUP(D14,Inputs!K:L,2,FALSE),0)</f>
        <v>10</v>
      </c>
      <c r="P14" s="92">
        <v>27</v>
      </c>
      <c r="Q14" s="90">
        <f t="shared" si="1"/>
        <v>45.1869565217391</v>
      </c>
      <c r="R14" s="74">
        <v>67384.7479534683</v>
      </c>
      <c r="S14" s="93">
        <f>K14/(VLOOKUP(D14,Inputs!R:S,2,FALSE)+1)</f>
        <v>7.96256038647343</v>
      </c>
      <c r="T14" s="94">
        <f t="shared" si="2"/>
        <v>925.925925925926</v>
      </c>
      <c r="U14" s="95">
        <f t="shared" si="3"/>
        <v>210000</v>
      </c>
    </row>
    <row r="15" s="40" customFormat="1" spans="2:21">
      <c r="B15" s="86" t="s">
        <v>45</v>
      </c>
      <c r="C15" s="86" t="s">
        <v>46</v>
      </c>
      <c r="D15" s="87" t="s">
        <v>47</v>
      </c>
      <c r="E15" s="86" t="s">
        <v>27</v>
      </c>
      <c r="F15" s="88">
        <v>25000</v>
      </c>
      <c r="G15" s="89">
        <v>6.85</v>
      </c>
      <c r="H15" s="88">
        <v>171250</v>
      </c>
      <c r="I15" s="87" t="s">
        <v>28</v>
      </c>
      <c r="J15" s="87" t="s">
        <v>48</v>
      </c>
      <c r="K15" s="90">
        <f t="shared" si="0"/>
        <v>6.85</v>
      </c>
      <c r="L15" s="91">
        <v>3.2</v>
      </c>
      <c r="M15" s="90">
        <f>_xlfn.IFNA(VLOOKUP(I15,Inputs!D:E,2,FALSE),0)</f>
        <v>4</v>
      </c>
      <c r="N15" s="90">
        <f>_xlfn.IFNA(VLOOKUP(D15,Inputs!G:H,2,FALSE),0)</f>
        <v>11</v>
      </c>
      <c r="O15" s="90">
        <f>_xlfn.IFNA(VLOOKUP(D15,Inputs!K:L,2,FALSE),0)</f>
        <v>12</v>
      </c>
      <c r="P15" s="92">
        <v>17</v>
      </c>
      <c r="Q15" s="90">
        <f t="shared" si="1"/>
        <v>81.05</v>
      </c>
      <c r="R15" s="74">
        <v>166300.88</v>
      </c>
      <c r="S15" s="93">
        <f>K15/(VLOOKUP(D15,Inputs!R:S,2,FALSE)+1)</f>
        <v>4.89285714285714</v>
      </c>
      <c r="T15" s="94">
        <f t="shared" si="2"/>
        <v>1470.58823529412</v>
      </c>
      <c r="U15" s="95">
        <f t="shared" si="3"/>
        <v>80000</v>
      </c>
    </row>
    <row r="16" s="40" customFormat="1" ht="15.6" customHeight="1" spans="2:21">
      <c r="B16" s="86" t="s">
        <v>50</v>
      </c>
      <c r="C16" s="86" t="s">
        <v>46</v>
      </c>
      <c r="D16" s="87" t="s">
        <v>47</v>
      </c>
      <c r="E16" s="86" t="s">
        <v>27</v>
      </c>
      <c r="F16" s="88">
        <v>25000</v>
      </c>
      <c r="G16" s="89">
        <v>6.85</v>
      </c>
      <c r="H16" s="88">
        <v>171250</v>
      </c>
      <c r="I16" s="87" t="s">
        <v>28</v>
      </c>
      <c r="J16" s="87" t="s">
        <v>48</v>
      </c>
      <c r="K16" s="90">
        <f t="shared" si="0"/>
        <v>6.85</v>
      </c>
      <c r="L16" s="91">
        <v>3.25</v>
      </c>
      <c r="M16" s="90">
        <f>_xlfn.IFNA(VLOOKUP(I16,Inputs!D:E,2,FALSE),0)</f>
        <v>4</v>
      </c>
      <c r="N16" s="90">
        <f>_xlfn.IFNA(VLOOKUP(D16,Inputs!G:H,2,FALSE),0)</f>
        <v>11</v>
      </c>
      <c r="O16" s="90">
        <f>_xlfn.IFNA(VLOOKUP(D16,Inputs!K:L,2,FALSE),0)</f>
        <v>12</v>
      </c>
      <c r="P16" s="92">
        <v>17</v>
      </c>
      <c r="Q16" s="90">
        <f t="shared" si="1"/>
        <v>80.2</v>
      </c>
      <c r="R16" s="74">
        <v>0</v>
      </c>
      <c r="S16" s="93">
        <f>K16/(VLOOKUP(D16,Inputs!R:S,2,FALSE)+1)</f>
        <v>4.89285714285714</v>
      </c>
      <c r="T16" s="94">
        <f t="shared" si="2"/>
        <v>1470.58823529412</v>
      </c>
      <c r="U16" s="95">
        <f t="shared" si="3"/>
        <v>81250</v>
      </c>
    </row>
    <row r="17" s="40" customFormat="1" ht="15.6" customHeight="1" spans="2:21">
      <c r="B17" s="86" t="s">
        <v>51</v>
      </c>
      <c r="C17" s="86" t="s">
        <v>46</v>
      </c>
      <c r="D17" s="87" t="s">
        <v>47</v>
      </c>
      <c r="E17" s="86" t="s">
        <v>27</v>
      </c>
      <c r="F17" s="88">
        <v>25000</v>
      </c>
      <c r="G17" s="89">
        <v>6.85</v>
      </c>
      <c r="H17" s="88">
        <v>171250</v>
      </c>
      <c r="I17" s="87" t="s">
        <v>28</v>
      </c>
      <c r="J17" s="87" t="s">
        <v>48</v>
      </c>
      <c r="K17" s="90">
        <f t="shared" ref="K17:K19" si="4">IF(J17="CIF",G17-0.3,G17)</f>
        <v>6.85</v>
      </c>
      <c r="L17" s="91">
        <v>3.25</v>
      </c>
      <c r="M17" s="90">
        <f>_xlfn.IFNA(VLOOKUP(I17,Inputs!D:E,2,FALSE),0)</f>
        <v>4</v>
      </c>
      <c r="N17" s="90">
        <f>_xlfn.IFNA(VLOOKUP(D17,Inputs!G:H,2,FALSE),0)</f>
        <v>11</v>
      </c>
      <c r="O17" s="90">
        <f>_xlfn.IFNA(VLOOKUP(D17,Inputs!K:L,2,FALSE),0)</f>
        <v>12</v>
      </c>
      <c r="P17" s="92">
        <v>17</v>
      </c>
      <c r="Q17" s="90">
        <f t="shared" ref="Q17:Q19" si="5">(K17-L17)*P17+N17+O17-M17</f>
        <v>80.2</v>
      </c>
      <c r="R17" s="74">
        <v>0</v>
      </c>
      <c r="S17" s="93">
        <f>K17/(VLOOKUP(D17,Inputs!R:S,2,FALSE)+1)</f>
        <v>4.89285714285714</v>
      </c>
      <c r="T17" s="94">
        <f t="shared" ref="T17:T19" si="6">IF(P17&gt;0,(F17/P17),0)</f>
        <v>1470.58823529412</v>
      </c>
      <c r="U17" s="95">
        <f t="shared" ref="U17:U19" si="7">(L17*F17)</f>
        <v>81250</v>
      </c>
    </row>
    <row r="18" s="40" customFormat="1" spans="2:21">
      <c r="B18" s="86" t="s">
        <v>52</v>
      </c>
      <c r="C18" s="86" t="s">
        <v>46</v>
      </c>
      <c r="D18" s="87" t="s">
        <v>47</v>
      </c>
      <c r="E18" s="86" t="s">
        <v>27</v>
      </c>
      <c r="F18" s="88">
        <v>25000</v>
      </c>
      <c r="G18" s="89">
        <v>6.85</v>
      </c>
      <c r="H18" s="88">
        <v>171250</v>
      </c>
      <c r="I18" s="87" t="s">
        <v>28</v>
      </c>
      <c r="J18" s="87" t="s">
        <v>48</v>
      </c>
      <c r="K18" s="90">
        <f t="shared" si="4"/>
        <v>6.85</v>
      </c>
      <c r="L18" s="91">
        <v>3.25</v>
      </c>
      <c r="M18" s="90">
        <f>_xlfn.IFNA(VLOOKUP(I18,Inputs!D:E,2,FALSE),0)</f>
        <v>4</v>
      </c>
      <c r="N18" s="90">
        <f>_xlfn.IFNA(VLOOKUP(D18,Inputs!G:H,2,FALSE),0)</f>
        <v>11</v>
      </c>
      <c r="O18" s="90">
        <f>_xlfn.IFNA(VLOOKUP(D18,Inputs!K:L,2,FALSE),0)</f>
        <v>12</v>
      </c>
      <c r="P18" s="92">
        <v>17</v>
      </c>
      <c r="Q18" s="90">
        <f t="shared" si="5"/>
        <v>80.2</v>
      </c>
      <c r="R18" s="74">
        <v>0</v>
      </c>
      <c r="S18" s="93">
        <f>K18/(VLOOKUP(D18,Inputs!R:S,2,FALSE)+1)</f>
        <v>4.89285714285714</v>
      </c>
      <c r="T18" s="94">
        <f t="shared" si="6"/>
        <v>1470.58823529412</v>
      </c>
      <c r="U18" s="95">
        <f t="shared" si="7"/>
        <v>81250</v>
      </c>
    </row>
    <row r="19" s="40" customFormat="1" ht="15.6" customHeight="1" spans="2:21">
      <c r="B19" s="86" t="s">
        <v>53</v>
      </c>
      <c r="C19" s="86" t="s">
        <v>54</v>
      </c>
      <c r="D19" s="87" t="s">
        <v>36</v>
      </c>
      <c r="E19" s="86" t="s">
        <v>27</v>
      </c>
      <c r="F19" s="88">
        <v>24999</v>
      </c>
      <c r="G19" s="89">
        <v>9.5</v>
      </c>
      <c r="H19" s="88">
        <v>237490.5</v>
      </c>
      <c r="I19" s="87" t="s">
        <v>28</v>
      </c>
      <c r="J19" s="87" t="s">
        <v>48</v>
      </c>
      <c r="K19" s="90">
        <f t="shared" si="4"/>
        <v>9.5</v>
      </c>
      <c r="L19" s="91">
        <v>7.7</v>
      </c>
      <c r="M19" s="90">
        <f>_xlfn.IFNA(VLOOKUP(I19,Inputs!D:E,2,FALSE),0)</f>
        <v>4</v>
      </c>
      <c r="N19" s="90">
        <f>_xlfn.IFNA(VLOOKUP(D19,Inputs!G:H,2,FALSE),0)</f>
        <v>6</v>
      </c>
      <c r="O19" s="90">
        <f>_xlfn.IFNA(VLOOKUP(D19,Inputs!K:L,2,FALSE),0)</f>
        <v>0</v>
      </c>
      <c r="P19" s="92">
        <v>14</v>
      </c>
      <c r="Q19" s="90">
        <f t="shared" si="5"/>
        <v>27.2</v>
      </c>
      <c r="R19" s="74">
        <v>0</v>
      </c>
      <c r="S19" s="93">
        <f>K19/(VLOOKUP(D19,Inputs!R:S,2,FALSE)+1)</f>
        <v>7.30769230769231</v>
      </c>
      <c r="T19" s="94">
        <f t="shared" si="6"/>
        <v>1785.64285714286</v>
      </c>
      <c r="U19" s="95">
        <f t="shared" si="7"/>
        <v>192492.3</v>
      </c>
    </row>
    <row r="20" s="40" customFormat="1" ht="15.6" customHeight="1" spans="2:21">
      <c r="B20" s="86" t="s">
        <v>55</v>
      </c>
      <c r="C20" s="86" t="s">
        <v>54</v>
      </c>
      <c r="D20" s="87" t="s">
        <v>56</v>
      </c>
      <c r="E20" s="86" t="s">
        <v>27</v>
      </c>
      <c r="F20" s="88">
        <v>17000</v>
      </c>
      <c r="G20" s="89">
        <v>11.6</v>
      </c>
      <c r="H20" s="88">
        <v>197200</v>
      </c>
      <c r="I20" s="87" t="s">
        <v>41</v>
      </c>
      <c r="J20" s="87" t="s">
        <v>48</v>
      </c>
      <c r="K20" s="90">
        <f t="shared" ref="K20:K30" si="8">IF(J20="CIF",G20-0.3,G20)</f>
        <v>11.6</v>
      </c>
      <c r="L20" s="91">
        <v>10.5</v>
      </c>
      <c r="M20" s="90">
        <f>_xlfn.IFNA(VLOOKUP(I20,Inputs!D:E,2,FALSE),0)</f>
        <v>2</v>
      </c>
      <c r="N20" s="90">
        <f>_xlfn.IFNA(VLOOKUP(D20,Inputs!G:H,2,FALSE),0)</f>
        <v>11</v>
      </c>
      <c r="O20" s="90">
        <f>_xlfn.IFNA(VLOOKUP(D20,Inputs!K:L,2,FALSE),0)</f>
        <v>10</v>
      </c>
      <c r="P20" s="92">
        <v>18</v>
      </c>
      <c r="Q20" s="90">
        <f t="shared" ref="Q20:Q30" si="9">(K20-L20)*P20+N20+O20-M20</f>
        <v>38.8</v>
      </c>
      <c r="R20" s="74">
        <v>0</v>
      </c>
      <c r="S20" s="93">
        <f>K20/(VLOOKUP(D20,Inputs!R:S,2,FALSE)+1)</f>
        <v>9.66666666666667</v>
      </c>
      <c r="T20" s="94">
        <f t="shared" ref="T20:T30" si="10">IF(P20&gt;0,(F20/P20),0)</f>
        <v>944.444444444444</v>
      </c>
      <c r="U20" s="95">
        <f t="shared" ref="U20:U30" si="11">(L20*F20)</f>
        <v>178500</v>
      </c>
    </row>
    <row r="21" s="40" customFormat="1" spans="2:21">
      <c r="B21" s="86" t="s">
        <v>57</v>
      </c>
      <c r="C21" s="86" t="s">
        <v>54</v>
      </c>
      <c r="D21" s="87" t="s">
        <v>56</v>
      </c>
      <c r="E21" s="86" t="s">
        <v>27</v>
      </c>
      <c r="F21" s="88">
        <v>17000</v>
      </c>
      <c r="G21" s="89">
        <v>11.6</v>
      </c>
      <c r="H21" s="88">
        <v>197200</v>
      </c>
      <c r="I21" s="87" t="s">
        <v>41</v>
      </c>
      <c r="J21" s="87" t="s">
        <v>48</v>
      </c>
      <c r="K21" s="90">
        <f t="shared" si="8"/>
        <v>11.6</v>
      </c>
      <c r="L21" s="91">
        <v>10.5</v>
      </c>
      <c r="M21" s="90">
        <f>_xlfn.IFNA(VLOOKUP(I21,Inputs!D:E,2,FALSE),0)</f>
        <v>2</v>
      </c>
      <c r="N21" s="90">
        <f>_xlfn.IFNA(VLOOKUP(D21,Inputs!G:H,2,FALSE),0)</f>
        <v>11</v>
      </c>
      <c r="O21" s="90">
        <f>_xlfn.IFNA(VLOOKUP(D21,Inputs!K:L,2,FALSE),0)</f>
        <v>10</v>
      </c>
      <c r="P21" s="92">
        <v>18</v>
      </c>
      <c r="Q21" s="90">
        <f t="shared" si="9"/>
        <v>38.8</v>
      </c>
      <c r="R21" s="74">
        <v>0</v>
      </c>
      <c r="S21" s="93">
        <f>K21/(VLOOKUP(D21,Inputs!R:S,2,FALSE)+1)</f>
        <v>9.66666666666667</v>
      </c>
      <c r="T21" s="94">
        <f t="shared" si="10"/>
        <v>944.444444444444</v>
      </c>
      <c r="U21" s="95">
        <f t="shared" si="11"/>
        <v>178500</v>
      </c>
    </row>
    <row r="22" s="40" customFormat="1" spans="2:21">
      <c r="B22" s="86" t="s">
        <v>58</v>
      </c>
      <c r="C22" s="86" t="s">
        <v>46</v>
      </c>
      <c r="D22" s="87" t="s">
        <v>36</v>
      </c>
      <c r="E22" s="86" t="s">
        <v>27</v>
      </c>
      <c r="F22" s="88">
        <v>25000</v>
      </c>
      <c r="G22" s="89">
        <v>9.8</v>
      </c>
      <c r="H22" s="88">
        <v>245000</v>
      </c>
      <c r="I22" s="87" t="s">
        <v>28</v>
      </c>
      <c r="J22" s="87" t="s">
        <v>48</v>
      </c>
      <c r="K22" s="90">
        <f t="shared" si="8"/>
        <v>9.8</v>
      </c>
      <c r="L22" s="91">
        <v>7.7</v>
      </c>
      <c r="M22" s="90">
        <f>_xlfn.IFNA(VLOOKUP(I22,Inputs!D:E,2,FALSE),0)</f>
        <v>4</v>
      </c>
      <c r="N22" s="90">
        <f>_xlfn.IFNA(VLOOKUP(D22,Inputs!G:H,2,FALSE),0)</f>
        <v>6</v>
      </c>
      <c r="O22" s="90">
        <f>_xlfn.IFNA(VLOOKUP(D22,Inputs!K:L,2,FALSE),0)</f>
        <v>0</v>
      </c>
      <c r="P22" s="92">
        <v>14</v>
      </c>
      <c r="Q22" s="90">
        <f t="shared" si="9"/>
        <v>31.4</v>
      </c>
      <c r="R22" s="74">
        <v>0</v>
      </c>
      <c r="S22" s="93">
        <f>K22/(VLOOKUP(D22,Inputs!R:S,2,FALSE)+1)</f>
        <v>7.53846153846154</v>
      </c>
      <c r="T22" s="94">
        <f t="shared" si="10"/>
        <v>1785.71428571429</v>
      </c>
      <c r="U22" s="95">
        <f t="shared" si="11"/>
        <v>192500</v>
      </c>
    </row>
    <row r="23" s="40" customFormat="1" spans="2:21">
      <c r="B23" s="86" t="s">
        <v>59</v>
      </c>
      <c r="C23" s="86" t="s">
        <v>60</v>
      </c>
      <c r="D23" s="87" t="s">
        <v>36</v>
      </c>
      <c r="E23" s="86" t="s">
        <v>27</v>
      </c>
      <c r="F23" s="88">
        <v>24000</v>
      </c>
      <c r="G23" s="89">
        <v>9.65</v>
      </c>
      <c r="H23" s="88">
        <v>231600</v>
      </c>
      <c r="I23" s="87" t="s">
        <v>28</v>
      </c>
      <c r="J23" s="87" t="s">
        <v>48</v>
      </c>
      <c r="K23" s="90">
        <f t="shared" si="8"/>
        <v>9.65</v>
      </c>
      <c r="L23" s="91">
        <v>7.7</v>
      </c>
      <c r="M23" s="90">
        <f>_xlfn.IFNA(VLOOKUP(I23,Inputs!D:E,2,FALSE),0)</f>
        <v>4</v>
      </c>
      <c r="N23" s="90">
        <f>_xlfn.IFNA(VLOOKUP(D23,Inputs!G:H,2,FALSE),0)</f>
        <v>6</v>
      </c>
      <c r="O23" s="90">
        <f>_xlfn.IFNA(VLOOKUP(D23,Inputs!K:L,2,FALSE),0)</f>
        <v>0</v>
      </c>
      <c r="P23" s="92">
        <v>14</v>
      </c>
      <c r="Q23" s="90">
        <f t="shared" si="9"/>
        <v>29.3</v>
      </c>
      <c r="R23" s="74">
        <v>0</v>
      </c>
      <c r="S23" s="93">
        <f>K23/(VLOOKUP(D23,Inputs!R:S,2,FALSE)+1)</f>
        <v>7.42307692307692</v>
      </c>
      <c r="T23" s="94">
        <f t="shared" si="10"/>
        <v>1714.28571428571</v>
      </c>
      <c r="U23" s="95">
        <f t="shared" si="11"/>
        <v>184800</v>
      </c>
    </row>
    <row r="24" s="40" customFormat="1" spans="2:21">
      <c r="B24" s="86" t="s">
        <v>61</v>
      </c>
      <c r="C24" s="86" t="s">
        <v>35</v>
      </c>
      <c r="D24" s="87" t="s">
        <v>36</v>
      </c>
      <c r="E24" s="86" t="s">
        <v>27</v>
      </c>
      <c r="F24" s="88">
        <v>16000</v>
      </c>
      <c r="G24" s="89">
        <v>10.0724637681159</v>
      </c>
      <c r="H24" s="88">
        <v>158857.142857143</v>
      </c>
      <c r="I24" s="87" t="s">
        <v>41</v>
      </c>
      <c r="J24" s="87" t="s">
        <v>29</v>
      </c>
      <c r="K24" s="90">
        <f t="shared" si="8"/>
        <v>9.77246376811594</v>
      </c>
      <c r="L24" s="91">
        <v>7.7</v>
      </c>
      <c r="M24" s="90">
        <f>_xlfn.IFNA(VLOOKUP(I24,Inputs!D:E,2,FALSE),0)</f>
        <v>2</v>
      </c>
      <c r="N24" s="90">
        <f>_xlfn.IFNA(VLOOKUP(D24,Inputs!G:H,2,FALSE),0)</f>
        <v>6</v>
      </c>
      <c r="O24" s="90">
        <f>_xlfn.IFNA(VLOOKUP(D24,Inputs!K:L,2,FALSE),0)</f>
        <v>0</v>
      </c>
      <c r="P24" s="92">
        <v>10</v>
      </c>
      <c r="Q24" s="90">
        <f t="shared" si="9"/>
        <v>24.7246376811594</v>
      </c>
      <c r="R24" s="74">
        <v>0</v>
      </c>
      <c r="S24" s="93">
        <f>K24/(VLOOKUP(D24,Inputs!R:S,2,FALSE)+1)</f>
        <v>7.51727982162765</v>
      </c>
      <c r="T24" s="94">
        <f t="shared" si="10"/>
        <v>1600</v>
      </c>
      <c r="U24" s="95">
        <f t="shared" si="11"/>
        <v>123200</v>
      </c>
    </row>
    <row r="25" s="40" customFormat="1" spans="2:21">
      <c r="B25" s="86" t="s">
        <v>62</v>
      </c>
      <c r="C25" s="86" t="s">
        <v>35</v>
      </c>
      <c r="D25" s="87" t="s">
        <v>36</v>
      </c>
      <c r="E25" s="86" t="s">
        <v>27</v>
      </c>
      <c r="F25" s="88">
        <v>16000</v>
      </c>
      <c r="G25" s="89">
        <v>10.1449275362319</v>
      </c>
      <c r="H25" s="88">
        <v>160000</v>
      </c>
      <c r="I25" s="87" t="s">
        <v>41</v>
      </c>
      <c r="J25" s="87" t="s">
        <v>29</v>
      </c>
      <c r="K25" s="90">
        <f t="shared" si="8"/>
        <v>9.84492753623188</v>
      </c>
      <c r="L25" s="91">
        <v>7.7</v>
      </c>
      <c r="M25" s="90">
        <f>_xlfn.IFNA(VLOOKUP(I25,Inputs!D:E,2,FALSE),0)</f>
        <v>2</v>
      </c>
      <c r="N25" s="90">
        <f>_xlfn.IFNA(VLOOKUP(D25,Inputs!G:H,2,FALSE),0)</f>
        <v>6</v>
      </c>
      <c r="O25" s="90">
        <f>_xlfn.IFNA(VLOOKUP(D25,Inputs!K:L,2,FALSE),0)</f>
        <v>0</v>
      </c>
      <c r="P25" s="92">
        <v>10</v>
      </c>
      <c r="Q25" s="90">
        <f t="shared" si="9"/>
        <v>25.4492753623188</v>
      </c>
      <c r="R25" s="74">
        <v>0</v>
      </c>
      <c r="S25" s="93">
        <f>K25/(VLOOKUP(D25,Inputs!R:S,2,FALSE)+1)</f>
        <v>7.57302118171683</v>
      </c>
      <c r="T25" s="94">
        <f t="shared" si="10"/>
        <v>1600</v>
      </c>
      <c r="U25" s="95">
        <f t="shared" si="11"/>
        <v>123200</v>
      </c>
    </row>
    <row r="26" s="40" customFormat="1" spans="2:21">
      <c r="B26" s="86" t="s">
        <v>63</v>
      </c>
      <c r="C26" s="86" t="s">
        <v>60</v>
      </c>
      <c r="D26" s="87" t="s">
        <v>36</v>
      </c>
      <c r="E26" s="86" t="s">
        <v>27</v>
      </c>
      <c r="F26" s="88">
        <v>24000</v>
      </c>
      <c r="G26" s="89">
        <v>9.75</v>
      </c>
      <c r="H26" s="88">
        <v>234000</v>
      </c>
      <c r="I26" s="87" t="s">
        <v>28</v>
      </c>
      <c r="J26" s="87" t="s">
        <v>48</v>
      </c>
      <c r="K26" s="90">
        <f t="shared" si="8"/>
        <v>9.75</v>
      </c>
      <c r="L26" s="91">
        <v>7.7</v>
      </c>
      <c r="M26" s="90">
        <f>_xlfn.IFNA(VLOOKUP(I26,Inputs!D:E,2,FALSE),0)</f>
        <v>4</v>
      </c>
      <c r="N26" s="90">
        <f>_xlfn.IFNA(VLOOKUP(D26,Inputs!G:H,2,FALSE),0)</f>
        <v>6</v>
      </c>
      <c r="O26" s="90">
        <f>_xlfn.IFNA(VLOOKUP(D26,Inputs!K:L,2,FALSE),0)</f>
        <v>0</v>
      </c>
      <c r="P26" s="92">
        <v>14</v>
      </c>
      <c r="Q26" s="90">
        <f t="shared" si="9"/>
        <v>30.7</v>
      </c>
      <c r="R26" s="74">
        <v>0</v>
      </c>
      <c r="S26" s="93">
        <f>K26/(VLOOKUP(D26,Inputs!R:S,2,FALSE)+1)</f>
        <v>7.5</v>
      </c>
      <c r="T26" s="94">
        <f t="shared" si="10"/>
        <v>1714.28571428571</v>
      </c>
      <c r="U26" s="95">
        <f t="shared" si="11"/>
        <v>184800</v>
      </c>
    </row>
    <row r="27" s="40" customFormat="1" spans="2:21">
      <c r="B27" s="86" t="s">
        <v>64</v>
      </c>
      <c r="C27" s="86" t="s">
        <v>65</v>
      </c>
      <c r="D27" s="87" t="s">
        <v>56</v>
      </c>
      <c r="E27" s="86" t="s">
        <v>27</v>
      </c>
      <c r="F27" s="88">
        <v>8100</v>
      </c>
      <c r="G27" s="89">
        <v>10.375</v>
      </c>
      <c r="H27" s="88">
        <v>83800</v>
      </c>
      <c r="I27" s="87" t="s">
        <v>66</v>
      </c>
      <c r="J27" s="87" t="s">
        <v>48</v>
      </c>
      <c r="K27" s="90">
        <f t="shared" si="8"/>
        <v>10.375</v>
      </c>
      <c r="L27" s="91">
        <v>10.5</v>
      </c>
      <c r="M27" s="90">
        <f>_xlfn.IFNA(VLOOKUP(I27,Inputs!D:E,2,FALSE),0)</f>
        <v>7</v>
      </c>
      <c r="N27" s="90">
        <f>_xlfn.IFNA(VLOOKUP(D27,Inputs!G:H,2,FALSE),0)</f>
        <v>11</v>
      </c>
      <c r="O27" s="90">
        <f>_xlfn.IFNA(VLOOKUP(D27,Inputs!K:L,2,FALSE),0)</f>
        <v>10</v>
      </c>
      <c r="P27" s="92">
        <v>18</v>
      </c>
      <c r="Q27" s="90">
        <f t="shared" si="9"/>
        <v>11.75</v>
      </c>
      <c r="R27" s="74">
        <v>0</v>
      </c>
      <c r="S27" s="93">
        <f>K27/(VLOOKUP(D27,Inputs!R:S,2,FALSE)+1)</f>
        <v>8.64583333333333</v>
      </c>
      <c r="T27" s="94">
        <f t="shared" si="10"/>
        <v>450</v>
      </c>
      <c r="U27" s="95">
        <f t="shared" si="11"/>
        <v>85050</v>
      </c>
    </row>
    <row r="28" s="40" customFormat="1" spans="2:21">
      <c r="B28" s="86" t="s">
        <v>67</v>
      </c>
      <c r="C28" s="86" t="s">
        <v>60</v>
      </c>
      <c r="D28" s="87" t="s">
        <v>36</v>
      </c>
      <c r="E28" s="86" t="s">
        <v>27</v>
      </c>
      <c r="F28" s="88">
        <v>25000</v>
      </c>
      <c r="G28" s="89">
        <v>10</v>
      </c>
      <c r="H28" s="88">
        <v>250000</v>
      </c>
      <c r="I28" s="87" t="s">
        <v>28</v>
      </c>
      <c r="J28" s="87" t="s">
        <v>48</v>
      </c>
      <c r="K28" s="90">
        <f t="shared" si="8"/>
        <v>10</v>
      </c>
      <c r="L28" s="91">
        <v>7.7</v>
      </c>
      <c r="M28" s="90">
        <f>_xlfn.IFNA(VLOOKUP(I28,Inputs!D:E,2,FALSE),0)</f>
        <v>4</v>
      </c>
      <c r="N28" s="90">
        <f>_xlfn.IFNA(VLOOKUP(D28,Inputs!G:H,2,FALSE),0)</f>
        <v>6</v>
      </c>
      <c r="O28" s="90">
        <f>_xlfn.IFNA(VLOOKUP(D28,Inputs!K:L,2,FALSE),0)</f>
        <v>0</v>
      </c>
      <c r="P28" s="92">
        <v>14</v>
      </c>
      <c r="Q28" s="90">
        <f t="shared" si="9"/>
        <v>34.2</v>
      </c>
      <c r="R28" s="74">
        <v>0</v>
      </c>
      <c r="S28" s="93">
        <f>K28/(VLOOKUP(D28,Inputs!R:S,2,FALSE)+1)</f>
        <v>7.69230769230769</v>
      </c>
      <c r="T28" s="94">
        <f t="shared" si="10"/>
        <v>1785.71428571429</v>
      </c>
      <c r="U28" s="95">
        <f t="shared" si="11"/>
        <v>192500</v>
      </c>
    </row>
    <row r="29" s="40" customFormat="1" spans="2:21">
      <c r="B29" s="86" t="s">
        <v>68</v>
      </c>
      <c r="C29" s="86" t="s">
        <v>46</v>
      </c>
      <c r="D29" s="87" t="s">
        <v>47</v>
      </c>
      <c r="E29" s="86" t="s">
        <v>27</v>
      </c>
      <c r="F29" s="88">
        <v>25000</v>
      </c>
      <c r="G29" s="89">
        <v>7.05</v>
      </c>
      <c r="H29" s="88">
        <v>176250</v>
      </c>
      <c r="I29" s="87" t="s">
        <v>28</v>
      </c>
      <c r="J29" s="87" t="s">
        <v>48</v>
      </c>
      <c r="K29" s="90">
        <f t="shared" si="8"/>
        <v>7.05</v>
      </c>
      <c r="L29" s="91">
        <v>3.25</v>
      </c>
      <c r="M29" s="90">
        <f>_xlfn.IFNA(VLOOKUP(I29,Inputs!D:E,2,FALSE),0)</f>
        <v>4</v>
      </c>
      <c r="N29" s="90">
        <f>_xlfn.IFNA(VLOOKUP(D29,Inputs!G:H,2,FALSE),0)</f>
        <v>11</v>
      </c>
      <c r="O29" s="90">
        <f>_xlfn.IFNA(VLOOKUP(D29,Inputs!K:L,2,FALSE),0)</f>
        <v>12</v>
      </c>
      <c r="P29" s="92">
        <v>17</v>
      </c>
      <c r="Q29" s="90">
        <f t="shared" si="9"/>
        <v>83.6</v>
      </c>
      <c r="R29" s="74">
        <v>0</v>
      </c>
      <c r="S29" s="93">
        <f>K29/(VLOOKUP(D29,Inputs!R:S,2,FALSE)+1)</f>
        <v>5.03571428571429</v>
      </c>
      <c r="T29" s="94">
        <f t="shared" si="10"/>
        <v>1470.58823529412</v>
      </c>
      <c r="U29" s="95">
        <f t="shared" si="11"/>
        <v>81250</v>
      </c>
    </row>
    <row r="30" s="40" customFormat="1" ht="15.6" customHeight="1" spans="2:21">
      <c r="B30" s="86" t="s">
        <v>69</v>
      </c>
      <c r="C30" s="86" t="s">
        <v>46</v>
      </c>
      <c r="D30" s="87" t="s">
        <v>47</v>
      </c>
      <c r="E30" s="86" t="s">
        <v>27</v>
      </c>
      <c r="F30" s="88">
        <v>25000</v>
      </c>
      <c r="G30" s="89">
        <v>7.05</v>
      </c>
      <c r="H30" s="88">
        <v>176250</v>
      </c>
      <c r="I30" s="87" t="s">
        <v>28</v>
      </c>
      <c r="J30" s="87" t="s">
        <v>48</v>
      </c>
      <c r="K30" s="90">
        <f t="shared" si="8"/>
        <v>7.05</v>
      </c>
      <c r="L30" s="91">
        <v>3.25</v>
      </c>
      <c r="M30" s="90">
        <f>_xlfn.IFNA(VLOOKUP(I30,Inputs!D:E,2,FALSE),0)</f>
        <v>4</v>
      </c>
      <c r="N30" s="90">
        <f>_xlfn.IFNA(VLOOKUP(D30,Inputs!G:H,2,FALSE),0)</f>
        <v>11</v>
      </c>
      <c r="O30" s="90">
        <f>_xlfn.IFNA(VLOOKUP(D30,Inputs!K:L,2,FALSE),0)</f>
        <v>12</v>
      </c>
      <c r="P30" s="92">
        <v>17</v>
      </c>
      <c r="Q30" s="90">
        <f t="shared" si="9"/>
        <v>83.6</v>
      </c>
      <c r="R30" s="74">
        <v>0</v>
      </c>
      <c r="S30" s="93">
        <f>K30/(VLOOKUP(D30,Inputs!R:S,2,FALSE)+1)</f>
        <v>5.03571428571429</v>
      </c>
      <c r="T30" s="94">
        <f t="shared" si="10"/>
        <v>1470.58823529412</v>
      </c>
      <c r="U30" s="95">
        <f t="shared" si="11"/>
        <v>81250</v>
      </c>
    </row>
    <row r="31" s="40" customFormat="1" ht="15.6" customHeight="1" spans="2:21">
      <c r="B31" s="86" t="s">
        <v>97</v>
      </c>
      <c r="C31" s="86" t="s">
        <v>54</v>
      </c>
      <c r="D31" s="87" t="s">
        <v>47</v>
      </c>
      <c r="E31" s="86" t="s">
        <v>27</v>
      </c>
      <c r="F31" s="88">
        <v>25000.18</v>
      </c>
      <c r="G31" s="89">
        <v>6.8</v>
      </c>
      <c r="H31" s="88">
        <v>170001.224</v>
      </c>
      <c r="I31" s="87" t="s">
        <v>28</v>
      </c>
      <c r="J31" s="87" t="s">
        <v>48</v>
      </c>
      <c r="K31" s="90">
        <f t="shared" ref="K31:K35" si="12">IF(J31="CIF",G31-0.3,G31)</f>
        <v>6.8</v>
      </c>
      <c r="L31" s="91">
        <v>3.25</v>
      </c>
      <c r="M31" s="90">
        <f>_xlfn.IFNA(VLOOKUP(I31,Inputs!D:E,2,FALSE),0)</f>
        <v>4</v>
      </c>
      <c r="N31" s="90">
        <f>_xlfn.IFNA(VLOOKUP(D31,Inputs!G:H,2,FALSE),0)</f>
        <v>11</v>
      </c>
      <c r="O31" s="90">
        <f>_xlfn.IFNA(VLOOKUP(D31,Inputs!K:L,2,FALSE),0)</f>
        <v>12</v>
      </c>
      <c r="P31" s="92">
        <v>17</v>
      </c>
      <c r="Q31" s="90">
        <f t="shared" ref="Q31:Q35" si="13">(K31-L31)*P31+N31+O31-M31</f>
        <v>79.35</v>
      </c>
      <c r="R31" s="74"/>
      <c r="S31" s="93">
        <f>K31/(VLOOKUP(D31,Inputs!R:S,2,FALSE)+1)</f>
        <v>4.85714285714286</v>
      </c>
      <c r="T31" s="94">
        <f t="shared" ref="T31:T35" si="14">IF(P31&gt;0,(F31/P31),0)</f>
        <v>1470.59882352941</v>
      </c>
      <c r="U31" s="95">
        <f t="shared" ref="U31:U35" si="15">(L31*F31)</f>
        <v>81250.585</v>
      </c>
    </row>
    <row r="32" s="40" customFormat="1" spans="2:21">
      <c r="B32" s="86" t="s">
        <v>98</v>
      </c>
      <c r="C32" s="86" t="s">
        <v>54</v>
      </c>
      <c r="D32" s="87" t="s">
        <v>47</v>
      </c>
      <c r="E32" s="86" t="s">
        <v>27</v>
      </c>
      <c r="F32" s="88">
        <v>25000</v>
      </c>
      <c r="G32" s="89">
        <v>6.8</v>
      </c>
      <c r="H32" s="88">
        <v>170000</v>
      </c>
      <c r="I32" s="87" t="s">
        <v>28</v>
      </c>
      <c r="J32" s="87" t="s">
        <v>48</v>
      </c>
      <c r="K32" s="90">
        <f t="shared" si="12"/>
        <v>6.8</v>
      </c>
      <c r="L32" s="91">
        <v>3.25</v>
      </c>
      <c r="M32" s="90">
        <f>_xlfn.IFNA(VLOOKUP(I32,Inputs!D:E,2,FALSE),0)</f>
        <v>4</v>
      </c>
      <c r="N32" s="90">
        <f>_xlfn.IFNA(VLOOKUP(D32,Inputs!G:H,2,FALSE),0)</f>
        <v>11</v>
      </c>
      <c r="O32" s="90">
        <f>_xlfn.IFNA(VLOOKUP(D32,Inputs!K:L,2,FALSE),0)</f>
        <v>12</v>
      </c>
      <c r="P32" s="92">
        <v>17</v>
      </c>
      <c r="Q32" s="90">
        <f t="shared" si="13"/>
        <v>79.35</v>
      </c>
      <c r="R32" s="74"/>
      <c r="S32" s="93">
        <f>K32/(VLOOKUP(D32,Inputs!R:S,2,FALSE)+1)</f>
        <v>4.85714285714286</v>
      </c>
      <c r="T32" s="94">
        <f t="shared" si="14"/>
        <v>1470.58823529412</v>
      </c>
      <c r="U32" s="95">
        <f t="shared" si="15"/>
        <v>81250</v>
      </c>
    </row>
    <row r="33" s="40" customFormat="1" spans="2:39">
      <c r="B33" s="86" t="s">
        <v>99</v>
      </c>
      <c r="C33" s="86" t="s">
        <v>100</v>
      </c>
      <c r="D33" s="87" t="s">
        <v>47</v>
      </c>
      <c r="E33" s="86" t="s">
        <v>27</v>
      </c>
      <c r="F33" s="88">
        <v>25000</v>
      </c>
      <c r="G33" s="89">
        <v>6.9</v>
      </c>
      <c r="H33" s="88">
        <v>172500</v>
      </c>
      <c r="I33" s="87" t="s">
        <v>28</v>
      </c>
      <c r="J33" s="87" t="s">
        <v>48</v>
      </c>
      <c r="K33" s="90">
        <f t="shared" si="12"/>
        <v>6.9</v>
      </c>
      <c r="L33" s="91">
        <v>3.25</v>
      </c>
      <c r="M33" s="90">
        <f>_xlfn.IFNA(VLOOKUP(I33,Inputs!D:E,2,FALSE),0)</f>
        <v>4</v>
      </c>
      <c r="N33" s="90">
        <f>_xlfn.IFNA(VLOOKUP(D33,Inputs!G:H,2,FALSE),0)</f>
        <v>11</v>
      </c>
      <c r="O33" s="90">
        <f>_xlfn.IFNA(VLOOKUP(D33,Inputs!K:L,2,FALSE),0)</f>
        <v>12</v>
      </c>
      <c r="P33" s="92">
        <v>17</v>
      </c>
      <c r="Q33" s="90">
        <f t="shared" si="13"/>
        <v>81.05</v>
      </c>
      <c r="R33" s="74"/>
      <c r="S33" s="93">
        <f>K33/(VLOOKUP(D33,Inputs!R:S,2,FALSE)+1)</f>
        <v>4.92857142857143</v>
      </c>
      <c r="T33" s="94">
        <f t="shared" si="14"/>
        <v>1470.58823529412</v>
      </c>
      <c r="U33" s="95">
        <f t="shared" si="15"/>
        <v>81250</v>
      </c>
    </row>
    <row r="34" s="40" customFormat="1" spans="2:39">
      <c r="B34" s="86" t="s">
        <v>101</v>
      </c>
      <c r="C34" s="86" t="s">
        <v>100</v>
      </c>
      <c r="D34" s="87" t="s">
        <v>47</v>
      </c>
      <c r="E34" s="86" t="s">
        <v>27</v>
      </c>
      <c r="F34" s="88">
        <v>25000</v>
      </c>
      <c r="G34" s="89">
        <v>6.9</v>
      </c>
      <c r="H34" s="88">
        <v>172500</v>
      </c>
      <c r="I34" s="87" t="s">
        <v>28</v>
      </c>
      <c r="J34" s="87" t="s">
        <v>48</v>
      </c>
      <c r="K34" s="90">
        <f t="shared" si="12"/>
        <v>6.9</v>
      </c>
      <c r="L34" s="91">
        <v>3.25</v>
      </c>
      <c r="M34" s="90">
        <f>_xlfn.IFNA(VLOOKUP(I34,Inputs!D:E,2,FALSE),0)</f>
        <v>4</v>
      </c>
      <c r="N34" s="90">
        <f>_xlfn.IFNA(VLOOKUP(D34,Inputs!G:H,2,FALSE),0)</f>
        <v>11</v>
      </c>
      <c r="O34" s="90">
        <f>_xlfn.IFNA(VLOOKUP(D34,Inputs!K:L,2,FALSE),0)</f>
        <v>12</v>
      </c>
      <c r="P34" s="92">
        <v>17</v>
      </c>
      <c r="Q34" s="90">
        <f t="shared" si="13"/>
        <v>81.05</v>
      </c>
      <c r="R34" s="74"/>
      <c r="S34" s="93">
        <f>K34/(VLOOKUP(D34,Inputs!R:S,2,FALSE)+1)</f>
        <v>4.92857142857143</v>
      </c>
      <c r="T34" s="94">
        <f t="shared" si="14"/>
        <v>1470.58823529412</v>
      </c>
      <c r="U34" s="95">
        <f t="shared" si="15"/>
        <v>81250</v>
      </c>
    </row>
    <row r="35" s="40" customFormat="1" spans="2:39">
      <c r="B35" s="86" t="s">
        <v>102</v>
      </c>
      <c r="C35" s="86" t="s">
        <v>103</v>
      </c>
      <c r="D35" s="87" t="s">
        <v>36</v>
      </c>
      <c r="E35" s="86" t="s">
        <v>27</v>
      </c>
      <c r="F35" s="88">
        <v>18000</v>
      </c>
      <c r="G35" s="89">
        <v>9.3</v>
      </c>
      <c r="H35" s="88">
        <v>167400</v>
      </c>
      <c r="I35" s="87" t="s">
        <v>41</v>
      </c>
      <c r="J35" s="87" t="s">
        <v>48</v>
      </c>
      <c r="K35" s="90">
        <f t="shared" si="12"/>
        <v>9.3</v>
      </c>
      <c r="L35" s="91">
        <v>7.7</v>
      </c>
      <c r="M35" s="90">
        <f>_xlfn.IFNA(VLOOKUP(I35,Inputs!D:E,2,FALSE),0)</f>
        <v>2</v>
      </c>
      <c r="N35" s="90">
        <f>_xlfn.IFNA(VLOOKUP(D35,Inputs!G:H,2,FALSE),0)</f>
        <v>6</v>
      </c>
      <c r="O35" s="90">
        <f>_xlfn.IFNA(VLOOKUP(D35,Inputs!K:L,2,FALSE),0)</f>
        <v>0</v>
      </c>
      <c r="P35" s="92">
        <v>10</v>
      </c>
      <c r="Q35" s="90">
        <f t="shared" si="13"/>
        <v>20</v>
      </c>
      <c r="R35" s="74"/>
      <c r="S35" s="93">
        <f>K35/(VLOOKUP(D35,Inputs!R:S,2,FALSE)+1)</f>
        <v>7.15384615384615</v>
      </c>
      <c r="T35" s="94">
        <f t="shared" si="14"/>
        <v>1800</v>
      </c>
      <c r="U35" s="95">
        <f t="shared" si="15"/>
        <v>138600</v>
      </c>
    </row>
    <row r="36" s="40" customFormat="1" spans="2:39">
      <c r="B36" s="96" t="s">
        <v>70</v>
      </c>
      <c r="C36" s="97"/>
      <c r="D36" s="97"/>
      <c r="E36" s="97"/>
      <c r="F36" s="98">
        <f>SUM(F5:F35)</f>
        <v>704096.18</v>
      </c>
      <c r="G36" s="99">
        <f>(H36/F36)</f>
        <v>8.8641775916791</v>
      </c>
      <c r="H36" s="98">
        <f>SUM(H5:H35)</f>
        <v>6241233.58114286</v>
      </c>
      <c r="I36" s="100"/>
      <c r="J36" s="1"/>
      <c r="K36" s="1"/>
      <c r="L36" s="1"/>
      <c r="M36" s="1"/>
      <c r="N36" s="1"/>
      <c r="O36" s="1"/>
      <c r="P36" s="1"/>
      <c r="Q36" s="1"/>
      <c r="R36" s="74"/>
      <c r="S36" s="41"/>
      <c r="T36" s="41"/>
      <c r="U36" s="41"/>
    </row>
    <row r="41" s="40" customFormat="1" spans="2:39">
      <c r="B41" s="101" t="s">
        <v>104</v>
      </c>
      <c r="C41" s="102"/>
      <c r="D41" s="102"/>
      <c r="E41" s="102"/>
      <c r="F41" s="102"/>
      <c r="G41" s="102"/>
      <c r="H41" s="102"/>
      <c r="I41" s="102"/>
      <c r="J41" s="102"/>
      <c r="K41" s="41"/>
      <c r="L41" s="1"/>
      <c r="M41" s="1"/>
      <c r="N41" s="1"/>
      <c r="O41" s="1"/>
      <c r="P41" s="1"/>
      <c r="Q41" s="41"/>
      <c r="R41" s="75"/>
      <c r="S41" s="41"/>
      <c r="T41" s="41"/>
      <c r="U41" s="41"/>
    </row>
    <row r="43" ht="15.15"/>
    <row r="44" ht="45" customHeight="1" spans="2:39">
      <c r="B44" s="80" t="s">
        <v>3</v>
      </c>
      <c r="C44" s="80" t="s">
        <v>4</v>
      </c>
      <c r="D44" s="80" t="s">
        <v>5</v>
      </c>
      <c r="E44" s="81" t="s">
        <v>6</v>
      </c>
      <c r="F44" s="80" t="s">
        <v>7</v>
      </c>
      <c r="G44" s="80" t="s">
        <v>8</v>
      </c>
      <c r="H44" s="80" t="s">
        <v>9</v>
      </c>
      <c r="I44" s="82" t="s">
        <v>10</v>
      </c>
      <c r="J44" s="14" t="s">
        <v>11</v>
      </c>
      <c r="K44" s="14" t="s">
        <v>12</v>
      </c>
      <c r="L44" s="82" t="s">
        <v>13</v>
      </c>
      <c r="M44" s="14" t="s">
        <v>14</v>
      </c>
      <c r="N44" s="14" t="s">
        <v>15</v>
      </c>
      <c r="O44" s="14" t="s">
        <v>16</v>
      </c>
      <c r="P44" s="14" t="s">
        <v>17</v>
      </c>
      <c r="Q44" s="14" t="s">
        <v>18</v>
      </c>
      <c r="R44" s="83"/>
      <c r="S44" s="14" t="s">
        <v>20</v>
      </c>
      <c r="T44" s="84" t="s">
        <v>21</v>
      </c>
      <c r="U44" s="85" t="s">
        <v>22</v>
      </c>
      <c r="V44" s="85" t="s">
        <v>23</v>
      </c>
      <c r="AM44" s="40"/>
    </row>
    <row r="45" spans="2:39">
      <c r="B45" s="103" t="s">
        <v>72</v>
      </c>
      <c r="C45" s="104" t="s">
        <v>73</v>
      </c>
      <c r="D45" s="16" t="s">
        <v>26</v>
      </c>
      <c r="E45" s="105">
        <v>46205</v>
      </c>
      <c r="F45" s="18">
        <v>21617.16</v>
      </c>
      <c r="G45" s="19">
        <v>9.71014492753623</v>
      </c>
      <c r="H45" s="18">
        <v>206907.102857143</v>
      </c>
      <c r="I45" s="16" t="s">
        <v>28</v>
      </c>
      <c r="J45" s="16" t="s">
        <v>29</v>
      </c>
      <c r="K45" s="90">
        <f t="shared" ref="K45:K55" si="16">IF(J45="CIF",G45-0.3,G45)</f>
        <v>9.41014492753623</v>
      </c>
      <c r="L45" s="106">
        <v>8.81</v>
      </c>
      <c r="M45" s="90">
        <f>_xlfn.IFNA(VLOOKUP(I45,Inputs!D:E,2,FALSE),0)</f>
        <v>4</v>
      </c>
      <c r="N45" s="90">
        <f>_xlfn.IFNA(VLOOKUP(D45,Inputs!G:H,2,FALSE),0)</f>
        <v>8</v>
      </c>
      <c r="O45" s="90">
        <f>_xlfn.IFNA(VLOOKUP(D45,Inputs!K:L,2,FALSE),0)</f>
        <v>10</v>
      </c>
      <c r="P45" s="107">
        <v>24.89</v>
      </c>
      <c r="Q45" s="90">
        <f t="shared" ref="Q45:Q55" si="17">IF(P45&gt;0,(K45-L45)*P45+N45+O45-M45,0)</f>
        <v>28.9376072463768</v>
      </c>
      <c r="S45" s="108"/>
      <c r="T45" s="109">
        <f t="shared" ref="T45:T55" si="18">IF(P45&gt;0,(K45)-((34+M45-O45-N45)/P45),0)</f>
        <v>8.60660937108786</v>
      </c>
      <c r="U45" s="94">
        <f t="shared" ref="U45:U55" si="19">IF(P45&gt;0,(F45/P45),0)</f>
        <v>868.507834471675</v>
      </c>
      <c r="V45" s="95">
        <f t="shared" ref="V45:V55" si="20">(L45*F45)</f>
        <v>190447.1796</v>
      </c>
      <c r="W45" s="110"/>
      <c r="AM45" s="40"/>
    </row>
    <row r="46" spans="2:39">
      <c r="B46" s="103" t="s">
        <v>74</v>
      </c>
      <c r="C46" s="104" t="s">
        <v>32</v>
      </c>
      <c r="D46" s="16" t="s">
        <v>26</v>
      </c>
      <c r="E46" s="105">
        <v>46212</v>
      </c>
      <c r="F46" s="18">
        <v>25004.6</v>
      </c>
      <c r="G46" s="19">
        <v>10.0724637681159</v>
      </c>
      <c r="H46" s="18">
        <v>248259.957142857</v>
      </c>
      <c r="I46" s="16" t="s">
        <v>28</v>
      </c>
      <c r="J46" s="16" t="s">
        <v>29</v>
      </c>
      <c r="K46" s="90">
        <f t="shared" si="16"/>
        <v>9.77246376811594</v>
      </c>
      <c r="L46" s="106">
        <v>8.21</v>
      </c>
      <c r="M46" s="90">
        <f>_xlfn.IFNA(VLOOKUP(I46,Inputs!D:E,2,FALSE),0)</f>
        <v>4</v>
      </c>
      <c r="N46" s="90">
        <f>_xlfn.IFNA(VLOOKUP(D46,Inputs!G:H,2,FALSE),0)</f>
        <v>8</v>
      </c>
      <c r="O46" s="90">
        <f>_xlfn.IFNA(VLOOKUP(D46,Inputs!K:L,2,FALSE),0)</f>
        <v>10</v>
      </c>
      <c r="P46" s="107">
        <v>18.24</v>
      </c>
      <c r="Q46" s="90">
        <f t="shared" si="17"/>
        <v>42.4993391304348</v>
      </c>
      <c r="S46" s="108"/>
      <c r="T46" s="109">
        <f t="shared" si="18"/>
        <v>8.67597254004577</v>
      </c>
      <c r="U46" s="94">
        <f t="shared" si="19"/>
        <v>1370.86622807018</v>
      </c>
      <c r="V46" s="95">
        <f t="shared" si="20"/>
        <v>205287.766</v>
      </c>
      <c r="AM46" s="40"/>
    </row>
    <row r="47" ht="15.75" customHeight="1" spans="2:39">
      <c r="B47" s="103" t="s">
        <v>75</v>
      </c>
      <c r="C47" s="104" t="s">
        <v>76</v>
      </c>
      <c r="D47" s="16" t="s">
        <v>77</v>
      </c>
      <c r="E47" s="105">
        <v>46202</v>
      </c>
      <c r="F47" s="18">
        <v>15503.2</v>
      </c>
      <c r="G47" s="19">
        <v>9.71014492753623</v>
      </c>
      <c r="H47" s="18">
        <v>148387.771428571</v>
      </c>
      <c r="I47" s="16" t="s">
        <v>41</v>
      </c>
      <c r="J47" s="16" t="s">
        <v>29</v>
      </c>
      <c r="K47" s="90">
        <f t="shared" si="16"/>
        <v>9.41014492753623</v>
      </c>
      <c r="L47" s="106">
        <v>7.8</v>
      </c>
      <c r="M47" s="90">
        <f>_xlfn.IFNA(VLOOKUP(I47,Inputs!D:E,2,FALSE),0)</f>
        <v>2</v>
      </c>
      <c r="N47" s="90">
        <f>_xlfn.IFNA(VLOOKUP(D47,Inputs!G:H,2,FALSE),0)</f>
        <v>8</v>
      </c>
      <c r="O47" s="90">
        <f>_xlfn.IFNA(VLOOKUP(D47,Inputs!K:L,2,FALSE),0)</f>
        <v>10</v>
      </c>
      <c r="P47" s="107">
        <v>23.3</v>
      </c>
      <c r="Q47" s="90">
        <f t="shared" si="17"/>
        <v>53.5163768115942</v>
      </c>
      <c r="S47" s="108"/>
      <c r="T47" s="109">
        <f t="shared" si="18"/>
        <v>8.63761273869503</v>
      </c>
      <c r="U47" s="94">
        <f t="shared" si="19"/>
        <v>665.37339055794</v>
      </c>
      <c r="V47" s="95">
        <f t="shared" si="20"/>
        <v>120924.96</v>
      </c>
      <c r="AM47" s="40"/>
    </row>
    <row r="48" spans="2:39">
      <c r="B48" s="103" t="s">
        <v>78</v>
      </c>
      <c r="C48" s="104" t="s">
        <v>46</v>
      </c>
      <c r="D48" s="16" t="s">
        <v>47</v>
      </c>
      <c r="E48" s="105">
        <v>46210</v>
      </c>
      <c r="F48" s="18">
        <v>25008.88</v>
      </c>
      <c r="G48" s="19">
        <v>6.85</v>
      </c>
      <c r="H48" s="18">
        <v>171310.828</v>
      </c>
      <c r="I48" s="16" t="s">
        <v>28</v>
      </c>
      <c r="J48" s="16" t="s">
        <v>48</v>
      </c>
      <c r="K48" s="90">
        <f t="shared" si="16"/>
        <v>6.85</v>
      </c>
      <c r="L48" s="106">
        <v>3.11</v>
      </c>
      <c r="M48" s="90">
        <f>_xlfn.IFNA(VLOOKUP(I48,Inputs!D:E,2,FALSE),0)</f>
        <v>4</v>
      </c>
      <c r="N48" s="90">
        <f>_xlfn.IFNA(VLOOKUP(D48,Inputs!G:H,2,FALSE),0)</f>
        <v>11</v>
      </c>
      <c r="O48" s="90">
        <f>_xlfn.IFNA(VLOOKUP(D48,Inputs!K:L,2,FALSE),0)</f>
        <v>12</v>
      </c>
      <c r="P48" s="107">
        <v>18.8</v>
      </c>
      <c r="Q48" s="90">
        <f t="shared" si="17"/>
        <v>89.312</v>
      </c>
      <c r="S48" s="108"/>
      <c r="T48" s="109">
        <f t="shared" si="18"/>
        <v>6.05212765957447</v>
      </c>
      <c r="U48" s="94">
        <f t="shared" si="19"/>
        <v>1330.25957446809</v>
      </c>
      <c r="V48" s="95">
        <f t="shared" si="20"/>
        <v>77777.6168</v>
      </c>
      <c r="AM48" s="40"/>
    </row>
    <row r="49" spans="2:39">
      <c r="B49" s="103" t="s">
        <v>79</v>
      </c>
      <c r="C49" s="104" t="s">
        <v>46</v>
      </c>
      <c r="D49" s="16" t="s">
        <v>56</v>
      </c>
      <c r="E49" s="105">
        <v>46206</v>
      </c>
      <c r="F49" s="18">
        <v>15221.1</v>
      </c>
      <c r="G49" s="19">
        <v>11.5</v>
      </c>
      <c r="H49" s="18">
        <v>175042.65</v>
      </c>
      <c r="I49" s="16" t="s">
        <v>41</v>
      </c>
      <c r="J49" s="16" t="s">
        <v>48</v>
      </c>
      <c r="K49" s="90">
        <f t="shared" si="16"/>
        <v>11.5</v>
      </c>
      <c r="L49" s="106">
        <v>10.35</v>
      </c>
      <c r="M49" s="90">
        <f>_xlfn.IFNA(VLOOKUP(I49,Inputs!D:E,2,FALSE),0)</f>
        <v>2</v>
      </c>
      <c r="N49" s="90">
        <f>_xlfn.IFNA(VLOOKUP(D49,Inputs!G:H,2,FALSE),0)</f>
        <v>11</v>
      </c>
      <c r="O49" s="90">
        <f>_xlfn.IFNA(VLOOKUP(D49,Inputs!K:L,2,FALSE),0)</f>
        <v>10</v>
      </c>
      <c r="P49" s="107">
        <v>18.06</v>
      </c>
      <c r="Q49" s="90">
        <f t="shared" si="17"/>
        <v>39.769</v>
      </c>
      <c r="S49" s="108"/>
      <c r="T49" s="109">
        <f t="shared" si="18"/>
        <v>10.6694352159468</v>
      </c>
      <c r="U49" s="94">
        <f t="shared" si="19"/>
        <v>842.8073089701</v>
      </c>
      <c r="V49" s="95">
        <f t="shared" si="20"/>
        <v>157538.385</v>
      </c>
      <c r="AM49" s="40"/>
    </row>
    <row r="50" ht="14.25" customHeight="1" spans="2:39">
      <c r="B50" s="103" t="s">
        <v>80</v>
      </c>
      <c r="C50" s="104" t="s">
        <v>81</v>
      </c>
      <c r="D50" s="16" t="s">
        <v>47</v>
      </c>
      <c r="E50" s="105">
        <v>46219</v>
      </c>
      <c r="F50" s="18">
        <v>25000.18</v>
      </c>
      <c r="G50" s="19">
        <v>6.65</v>
      </c>
      <c r="H50" s="18">
        <v>166251.197</v>
      </c>
      <c r="I50" s="16" t="s">
        <v>28</v>
      </c>
      <c r="J50" s="16" t="s">
        <v>48</v>
      </c>
      <c r="K50" s="90">
        <f t="shared" si="16"/>
        <v>6.65</v>
      </c>
      <c r="L50" s="106">
        <v>3.13</v>
      </c>
      <c r="M50" s="90">
        <f>_xlfn.IFNA(VLOOKUP(I50,Inputs!D:E,2,FALSE),0)</f>
        <v>4</v>
      </c>
      <c r="N50" s="90">
        <f>_xlfn.IFNA(VLOOKUP(D50,Inputs!G:H,2,FALSE),0)</f>
        <v>11</v>
      </c>
      <c r="O50" s="90">
        <f>_xlfn.IFNA(VLOOKUP(D50,Inputs!K:L,2,FALSE),0)</f>
        <v>12</v>
      </c>
      <c r="P50" s="107">
        <v>18.2</v>
      </c>
      <c r="Q50" s="90">
        <f t="shared" si="17"/>
        <v>83.064</v>
      </c>
      <c r="S50" s="108"/>
      <c r="T50" s="109">
        <f t="shared" si="18"/>
        <v>5.82582417582418</v>
      </c>
      <c r="U50" s="94">
        <f t="shared" si="19"/>
        <v>1373.63626373626</v>
      </c>
      <c r="V50" s="95">
        <f t="shared" si="20"/>
        <v>78250.5634</v>
      </c>
      <c r="AM50" s="40"/>
    </row>
    <row r="51" spans="2:39">
      <c r="B51" s="103" t="s">
        <v>82</v>
      </c>
      <c r="C51" s="104" t="s">
        <v>83</v>
      </c>
      <c r="D51" s="16" t="s">
        <v>56</v>
      </c>
      <c r="E51" s="105">
        <v>46206</v>
      </c>
      <c r="F51" s="18">
        <v>9836.3</v>
      </c>
      <c r="G51" s="19">
        <v>11</v>
      </c>
      <c r="H51" s="18">
        <v>108199.3</v>
      </c>
      <c r="I51" s="16" t="s">
        <v>28</v>
      </c>
      <c r="J51" s="16" t="s">
        <v>48</v>
      </c>
      <c r="K51" s="90">
        <f t="shared" si="16"/>
        <v>11</v>
      </c>
      <c r="L51" s="106">
        <v>10.18</v>
      </c>
      <c r="M51" s="90">
        <f>_xlfn.IFNA(VLOOKUP(I51,Inputs!D:E,2,FALSE),0)</f>
        <v>4</v>
      </c>
      <c r="N51" s="90">
        <f>_xlfn.IFNA(VLOOKUP(D51,Inputs!G:H,2,FALSE),0)</f>
        <v>11</v>
      </c>
      <c r="O51" s="90">
        <f>_xlfn.IFNA(VLOOKUP(D51,Inputs!K:L,2,FALSE),0)</f>
        <v>10</v>
      </c>
      <c r="P51" s="107">
        <v>18.34</v>
      </c>
      <c r="Q51" s="90">
        <f t="shared" si="17"/>
        <v>32.0388</v>
      </c>
      <c r="S51" s="108"/>
      <c r="T51" s="109">
        <f t="shared" si="18"/>
        <v>10.0730643402399</v>
      </c>
      <c r="U51" s="94">
        <f t="shared" si="19"/>
        <v>536.330425299891</v>
      </c>
      <c r="V51" s="95">
        <f t="shared" si="20"/>
        <v>100133.534</v>
      </c>
      <c r="AM51" s="40"/>
    </row>
    <row r="52" spans="2:39">
      <c r="B52" s="103" t="s">
        <v>84</v>
      </c>
      <c r="C52" s="104" t="s">
        <v>60</v>
      </c>
      <c r="D52" s="16" t="s">
        <v>36</v>
      </c>
      <c r="E52" s="105">
        <v>46212</v>
      </c>
      <c r="F52" s="18">
        <v>24026.78</v>
      </c>
      <c r="G52" s="19">
        <v>9.75</v>
      </c>
      <c r="H52" s="18">
        <v>234261.105</v>
      </c>
      <c r="I52" s="16" t="s">
        <v>28</v>
      </c>
      <c r="J52" s="16" t="s">
        <v>48</v>
      </c>
      <c r="K52" s="90">
        <f t="shared" si="16"/>
        <v>9.75</v>
      </c>
      <c r="L52" s="106">
        <v>8.27</v>
      </c>
      <c r="M52" s="90">
        <f>_xlfn.IFNA(VLOOKUP(I52,Inputs!D:E,2,FALSE),0)</f>
        <v>4</v>
      </c>
      <c r="N52" s="90">
        <f>_xlfn.IFNA(VLOOKUP(D52,Inputs!G:H,2,FALSE),0)</f>
        <v>6</v>
      </c>
      <c r="O52" s="90">
        <f>_xlfn.IFNA(VLOOKUP(D52,Inputs!K:L,2,FALSE),0)</f>
        <v>0</v>
      </c>
      <c r="P52" s="107">
        <v>16.63</v>
      </c>
      <c r="Q52" s="90">
        <f t="shared" si="17"/>
        <v>26.6124</v>
      </c>
      <c r="S52" s="108"/>
      <c r="T52" s="109">
        <f t="shared" si="18"/>
        <v>7.82576668671076</v>
      </c>
      <c r="U52" s="94">
        <f t="shared" si="19"/>
        <v>1444.78532772099</v>
      </c>
      <c r="V52" s="95">
        <f t="shared" si="20"/>
        <v>198701.4706</v>
      </c>
      <c r="AM52" s="40"/>
    </row>
    <row r="53" spans="2:39">
      <c r="B53" s="103" t="s">
        <v>85</v>
      </c>
      <c r="C53" s="104" t="s">
        <v>60</v>
      </c>
      <c r="D53" s="16" t="s">
        <v>36</v>
      </c>
      <c r="E53" s="105">
        <v>46226</v>
      </c>
      <c r="F53" s="18">
        <v>23066.56</v>
      </c>
      <c r="G53" s="19">
        <v>9.75</v>
      </c>
      <c r="H53" s="18">
        <v>224898.96</v>
      </c>
      <c r="I53" s="16" t="s">
        <v>28</v>
      </c>
      <c r="J53" s="16" t="s">
        <v>48</v>
      </c>
      <c r="K53" s="90">
        <f t="shared" si="16"/>
        <v>9.75</v>
      </c>
      <c r="L53" s="106">
        <v>7.93</v>
      </c>
      <c r="M53" s="90">
        <f>_xlfn.IFNA(VLOOKUP(I53,Inputs!D:E,2,FALSE),0)</f>
        <v>4</v>
      </c>
      <c r="N53" s="90">
        <f>_xlfn.IFNA(VLOOKUP(D53,Inputs!G:H,2,FALSE),0)</f>
        <v>6</v>
      </c>
      <c r="O53" s="90">
        <f>_xlfn.IFNA(VLOOKUP(D53,Inputs!K:L,2,FALSE),0)</f>
        <v>0</v>
      </c>
      <c r="P53" s="107">
        <v>12.64</v>
      </c>
      <c r="Q53" s="90">
        <f t="shared" si="17"/>
        <v>25.0048</v>
      </c>
      <c r="S53" s="108"/>
      <c r="T53" s="109">
        <f t="shared" si="18"/>
        <v>7.21835443037975</v>
      </c>
      <c r="U53" s="94">
        <f t="shared" si="19"/>
        <v>1824.88607594937</v>
      </c>
      <c r="V53" s="95">
        <f t="shared" si="20"/>
        <v>182917.8208</v>
      </c>
      <c r="AM53" s="40"/>
    </row>
    <row r="54" spans="2:39">
      <c r="B54" s="103" t="s">
        <v>86</v>
      </c>
      <c r="C54" s="104" t="s">
        <v>65</v>
      </c>
      <c r="D54" s="16" t="s">
        <v>56</v>
      </c>
      <c r="E54" s="105">
        <v>46227</v>
      </c>
      <c r="F54" s="18">
        <v>950.75</v>
      </c>
      <c r="G54" s="19">
        <v>12.2</v>
      </c>
      <c r="H54" s="18">
        <v>9966.982</v>
      </c>
      <c r="I54" s="16" t="s">
        <v>66</v>
      </c>
      <c r="J54" s="16" t="s">
        <v>48</v>
      </c>
      <c r="K54" s="90">
        <f t="shared" si="16"/>
        <v>12.2</v>
      </c>
      <c r="L54" s="106">
        <v>10.6</v>
      </c>
      <c r="M54" s="90">
        <f>_xlfn.IFNA(VLOOKUP(I54,Inputs!D:E,2,FALSE),0)</f>
        <v>7</v>
      </c>
      <c r="N54" s="90">
        <f>_xlfn.IFNA(VLOOKUP(D54,Inputs!G:H,2,FALSE),0)</f>
        <v>11</v>
      </c>
      <c r="O54" s="90">
        <f>_xlfn.IFNA(VLOOKUP(D54,Inputs!K:L,2,FALSE),0)</f>
        <v>10</v>
      </c>
      <c r="P54" s="107">
        <v>15.96</v>
      </c>
      <c r="Q54" s="90">
        <f t="shared" si="17"/>
        <v>39.536</v>
      </c>
      <c r="S54" s="108"/>
      <c r="T54" s="109">
        <f t="shared" si="18"/>
        <v>10.9468671679198</v>
      </c>
      <c r="U54" s="94">
        <f t="shared" si="19"/>
        <v>59.5708020050125</v>
      </c>
      <c r="V54" s="95">
        <f t="shared" si="20"/>
        <v>10077.95</v>
      </c>
      <c r="AM54" s="40"/>
    </row>
    <row r="55" spans="2:39">
      <c r="B55" s="103" t="s">
        <v>87</v>
      </c>
      <c r="C55" s="104" t="s">
        <v>46</v>
      </c>
      <c r="D55" s="16" t="s">
        <v>47</v>
      </c>
      <c r="E55" s="105">
        <v>46233</v>
      </c>
      <c r="F55" s="18">
        <v>25008.58</v>
      </c>
      <c r="G55" s="19">
        <v>6.85</v>
      </c>
      <c r="H55" s="18">
        <f>+F55*G55</f>
        <v>171308.773</v>
      </c>
      <c r="I55" s="16" t="s">
        <v>28</v>
      </c>
      <c r="J55" s="16" t="s">
        <v>48</v>
      </c>
      <c r="K55" s="90">
        <f t="shared" si="16"/>
        <v>6.85</v>
      </c>
      <c r="L55" s="106">
        <v>3.2</v>
      </c>
      <c r="M55" s="90">
        <f>_xlfn.IFNA(VLOOKUP(I55,Inputs!D:E,2,FALSE),0)</f>
        <v>4</v>
      </c>
      <c r="N55" s="90">
        <f>_xlfn.IFNA(VLOOKUP(D55,Inputs!G:H,2,FALSE),0)</f>
        <v>11</v>
      </c>
      <c r="O55" s="90">
        <f>_xlfn.IFNA(VLOOKUP(D55,Inputs!K:L,2,FALSE),0)</f>
        <v>12</v>
      </c>
      <c r="P55" s="107">
        <v>18.2</v>
      </c>
      <c r="Q55" s="90">
        <f t="shared" si="17"/>
        <v>85.43</v>
      </c>
      <c r="S55" s="108"/>
      <c r="T55" s="109">
        <f t="shared" si="18"/>
        <v>6.02582417582418</v>
      </c>
      <c r="U55" s="94">
        <f t="shared" si="19"/>
        <v>1374.0978021978</v>
      </c>
      <c r="V55" s="95">
        <f t="shared" si="20"/>
        <v>80027.456</v>
      </c>
      <c r="AM55" s="40"/>
    </row>
    <row r="56" spans="2:39">
      <c r="B56" s="104" t="s">
        <v>88</v>
      </c>
      <c r="C56" s="104" t="s">
        <v>89</v>
      </c>
      <c r="D56" s="16" t="s">
        <v>36</v>
      </c>
      <c r="E56" s="105">
        <v>46233</v>
      </c>
      <c r="F56" s="18">
        <v>2151.7</v>
      </c>
      <c r="G56" s="19">
        <v>13.3</v>
      </c>
      <c r="H56" s="18">
        <v>28617.61</v>
      </c>
      <c r="I56" s="16" t="s">
        <v>41</v>
      </c>
      <c r="J56" s="16" t="s">
        <v>29</v>
      </c>
      <c r="K56" s="90">
        <f t="shared" ref="K56:K60" si="21">IF(J56="CIF",G56-0.3,G56)</f>
        <v>13</v>
      </c>
      <c r="L56" s="106">
        <v>7.8</v>
      </c>
      <c r="M56" s="90">
        <f>_xlfn.IFNA(VLOOKUP(I56,Inputs!D:E,2,FALSE),0)</f>
        <v>2</v>
      </c>
      <c r="N56" s="90">
        <f>_xlfn.IFNA(VLOOKUP(D56,Inputs!G:H,2,FALSE),0)</f>
        <v>6</v>
      </c>
      <c r="O56" s="90">
        <f>_xlfn.IFNA(VLOOKUP(D56,Inputs!K:L,2,FALSE),0)</f>
        <v>0</v>
      </c>
      <c r="P56" s="107">
        <v>14.55</v>
      </c>
      <c r="Q56" s="90">
        <f t="shared" ref="Q56:Q60" si="22">IF(P56&gt;0,(K56-L56)*P56+N56+O56-M56,0)</f>
        <v>79.66</v>
      </c>
      <c r="R56" s="74">
        <v>16500</v>
      </c>
      <c r="S56" s="108"/>
      <c r="T56" s="109">
        <f t="shared" ref="T56:T59" si="23">IF(P56&gt;0,(K56)-((34+M56-O56-N56)/P56),0)</f>
        <v>10.9381443298969</v>
      </c>
      <c r="U56" s="94">
        <f t="shared" ref="U56:U60" si="24">IF(P56&gt;0,(F56/P56),0)</f>
        <v>147.883161512027</v>
      </c>
      <c r="V56" s="95">
        <f t="shared" ref="V56:V60" si="25">(L56*F56)</f>
        <v>16783.26</v>
      </c>
      <c r="AM56" s="40"/>
    </row>
    <row r="57" spans="2:39">
      <c r="B57" s="104" t="s">
        <v>88</v>
      </c>
      <c r="C57" s="104" t="s">
        <v>89</v>
      </c>
      <c r="D57" s="16" t="s">
        <v>56</v>
      </c>
      <c r="E57" s="105">
        <v>46233</v>
      </c>
      <c r="F57" s="18">
        <v>248.05</v>
      </c>
      <c r="G57" s="19">
        <v>13.85</v>
      </c>
      <c r="H57" s="18">
        <v>3435.4925</v>
      </c>
      <c r="I57" s="16" t="s">
        <v>41</v>
      </c>
      <c r="J57" s="16" t="s">
        <v>29</v>
      </c>
      <c r="K57" s="90">
        <f t="shared" si="21"/>
        <v>13.55</v>
      </c>
      <c r="L57" s="106">
        <v>10.6</v>
      </c>
      <c r="M57" s="90">
        <f>_xlfn.IFNA(VLOOKUP(I57,Inputs!D:E,2,FALSE),0)</f>
        <v>2</v>
      </c>
      <c r="N57" s="90">
        <f>_xlfn.IFNA(VLOOKUP(D57,Inputs!G:H,2,FALSE),0)</f>
        <v>11</v>
      </c>
      <c r="O57" s="90">
        <f>_xlfn.IFNA(VLOOKUP(D57,Inputs!K:L,2,FALSE),0)</f>
        <v>10</v>
      </c>
      <c r="P57" s="107">
        <v>14</v>
      </c>
      <c r="Q57" s="90">
        <f t="shared" si="22"/>
        <v>60.3</v>
      </c>
      <c r="R57" s="74">
        <v>16500</v>
      </c>
      <c r="S57" s="108"/>
      <c r="T57" s="109">
        <f t="shared" si="23"/>
        <v>12.4785714285714</v>
      </c>
      <c r="U57" s="94">
        <f t="shared" si="24"/>
        <v>17.7178571428571</v>
      </c>
      <c r="V57" s="95">
        <f t="shared" si="25"/>
        <v>2629.33</v>
      </c>
      <c r="AM57" s="40"/>
    </row>
    <row r="58" spans="2:39">
      <c r="B58" s="104" t="s">
        <v>90</v>
      </c>
      <c r="C58" s="104" t="s">
        <v>89</v>
      </c>
      <c r="D58" s="16" t="s">
        <v>36</v>
      </c>
      <c r="E58" s="105">
        <v>46238</v>
      </c>
      <c r="F58" s="18">
        <v>1131.73</v>
      </c>
      <c r="G58" s="19">
        <v>13.3</v>
      </c>
      <c r="H58" s="18">
        <v>15052.009</v>
      </c>
      <c r="I58" s="16" t="s">
        <v>41</v>
      </c>
      <c r="J58" s="16" t="s">
        <v>29</v>
      </c>
      <c r="K58" s="90">
        <f t="shared" si="21"/>
        <v>13</v>
      </c>
      <c r="L58" s="106">
        <v>7.9</v>
      </c>
      <c r="M58" s="90">
        <f>_xlfn.IFNA(VLOOKUP(I58,Inputs!D:E,2,FALSE),0)</f>
        <v>2</v>
      </c>
      <c r="N58" s="90">
        <f>_xlfn.IFNA(VLOOKUP(D58,Inputs!G:H,2,FALSE),0)</f>
        <v>6</v>
      </c>
      <c r="O58" s="90">
        <f>_xlfn.IFNA(VLOOKUP(D58,Inputs!K:L,2,FALSE),0)</f>
        <v>0</v>
      </c>
      <c r="P58" s="107">
        <v>13.23</v>
      </c>
      <c r="Q58" s="90">
        <f t="shared" si="22"/>
        <v>71.473</v>
      </c>
      <c r="R58" s="74">
        <v>15734.59</v>
      </c>
      <c r="S58" s="108"/>
      <c r="T58" s="109">
        <f t="shared" si="23"/>
        <v>10.7324263038549</v>
      </c>
      <c r="U58" s="94">
        <f t="shared" si="24"/>
        <v>85.5427059712774</v>
      </c>
      <c r="V58" s="95">
        <f t="shared" si="25"/>
        <v>8940.667</v>
      </c>
      <c r="AM58" s="40"/>
    </row>
    <row r="59" spans="2:39">
      <c r="B59" s="103" t="s">
        <v>90</v>
      </c>
      <c r="C59" s="104" t="s">
        <v>89</v>
      </c>
      <c r="D59" s="16" t="s">
        <v>56</v>
      </c>
      <c r="E59" s="105">
        <v>46238</v>
      </c>
      <c r="F59" s="18">
        <v>149.25</v>
      </c>
      <c r="G59" s="19">
        <v>13.85</v>
      </c>
      <c r="H59" s="18">
        <v>2067.1125</v>
      </c>
      <c r="I59" s="16" t="s">
        <v>41</v>
      </c>
      <c r="J59" s="16" t="s">
        <v>29</v>
      </c>
      <c r="K59" s="90">
        <f t="shared" si="21"/>
        <v>13.55</v>
      </c>
      <c r="L59" s="111">
        <v>10.38</v>
      </c>
      <c r="M59" s="90">
        <v>2</v>
      </c>
      <c r="N59" s="90">
        <f>_xlfn.IFNA(VLOOKUP(D59,Inputs!G:H,2,FALSE),0)</f>
        <v>11</v>
      </c>
      <c r="O59" s="90">
        <f>_xlfn.IFNA(VLOOKUP(D59,Inputs!K:L,2,FALSE),0)</f>
        <v>10</v>
      </c>
      <c r="P59" s="107">
        <v>17.07</v>
      </c>
      <c r="Q59" s="90">
        <f t="shared" si="22"/>
        <v>73.1119</v>
      </c>
      <c r="R59" s="74">
        <v>16000</v>
      </c>
      <c r="S59" s="108"/>
      <c r="T59" s="109">
        <f t="shared" si="23"/>
        <v>12.6712653778559</v>
      </c>
      <c r="U59" s="94">
        <f t="shared" si="24"/>
        <v>8.74340949033392</v>
      </c>
      <c r="V59" s="95">
        <f t="shared" si="25"/>
        <v>1549.215</v>
      </c>
      <c r="AM59" s="40"/>
    </row>
    <row r="60" spans="2:39">
      <c r="B60" s="103" t="s">
        <v>91</v>
      </c>
      <c r="C60" s="104" t="s">
        <v>81</v>
      </c>
      <c r="D60" s="16" t="s">
        <v>47</v>
      </c>
      <c r="E60" s="105">
        <v>46240</v>
      </c>
      <c r="F60" s="18">
        <v>24919.62</v>
      </c>
      <c r="G60" s="19">
        <v>6.65</v>
      </c>
      <c r="H60" s="18">
        <v>165715.47</v>
      </c>
      <c r="I60" s="16" t="s">
        <v>28</v>
      </c>
      <c r="J60" s="16" t="s">
        <v>48</v>
      </c>
      <c r="K60" s="90">
        <f t="shared" si="21"/>
        <v>6.65</v>
      </c>
      <c r="L60" s="106">
        <v>3.37</v>
      </c>
      <c r="M60" s="90">
        <f>_xlfn.IFNA(VLOOKUP(I60,Inputs!D:E,2,FALSE),0)</f>
        <v>4</v>
      </c>
      <c r="N60" s="90">
        <f>_xlfn.IFNA(VLOOKUP(D60,Inputs!G:H,2,FALSE),0)</f>
        <v>11</v>
      </c>
      <c r="O60" s="90">
        <f>_xlfn.IFNA(VLOOKUP(D60,Inputs!K:L,2,FALSE),0)</f>
        <v>12</v>
      </c>
      <c r="P60" s="107">
        <v>18</v>
      </c>
      <c r="Q60" s="90">
        <f t="shared" si="22"/>
        <v>78.04</v>
      </c>
      <c r="S60" s="108"/>
      <c r="T60" s="109">
        <f>IF(P60&gt;0,(K60)-((40+M60-O60-N60)/P60),0)</f>
        <v>5.48333333333333</v>
      </c>
      <c r="U60" s="94">
        <f t="shared" si="24"/>
        <v>1384.42333333333</v>
      </c>
      <c r="V60" s="95">
        <f t="shared" si="25"/>
        <v>83979.1194</v>
      </c>
      <c r="AM60" s="40"/>
    </row>
    <row r="61" spans="2:39">
      <c r="B61" s="103" t="s">
        <v>49</v>
      </c>
      <c r="C61" s="104" t="s">
        <v>46</v>
      </c>
      <c r="D61" s="16" t="s">
        <v>47</v>
      </c>
      <c r="E61" s="105">
        <v>46244</v>
      </c>
      <c r="F61" s="18">
        <v>25000.94</v>
      </c>
      <c r="G61" s="19">
        <v>6.9</v>
      </c>
      <c r="H61" s="18">
        <f>F61*G61</f>
        <v>172506.486</v>
      </c>
      <c r="I61" s="16" t="s">
        <v>28</v>
      </c>
      <c r="J61" s="16" t="s">
        <v>48</v>
      </c>
      <c r="K61" s="90">
        <f t="shared" ref="K61" si="26">IF(J61="CIF",G61-0.3,G61)</f>
        <v>6.9</v>
      </c>
      <c r="L61" s="106">
        <v>3.36</v>
      </c>
      <c r="M61" s="90">
        <f>_xlfn.IFNA(VLOOKUP(I61,Inputs!D:E,2,FALSE),0)</f>
        <v>4</v>
      </c>
      <c r="N61" s="90">
        <f>_xlfn.IFNA(VLOOKUP(D61,Inputs!G:H,2,FALSE),0)</f>
        <v>11</v>
      </c>
      <c r="O61" s="90">
        <f>_xlfn.IFNA(VLOOKUP(D61,Inputs!K:L,2,FALSE),0)</f>
        <v>12</v>
      </c>
      <c r="P61" s="107">
        <v>18</v>
      </c>
      <c r="Q61" s="90">
        <f t="shared" ref="Q61" si="27">IF(P61&gt;0,(K61-L61)*P61+N61+O61-M61,0)</f>
        <v>82.72</v>
      </c>
      <c r="S61" s="108"/>
      <c r="T61" s="109">
        <f t="shared" ref="T61" si="28">IF(P61&gt;0,(K61)-((40+M61-O61-N61)/P61),0)</f>
        <v>5.73333333333333</v>
      </c>
      <c r="U61" s="94">
        <f t="shared" ref="U61" si="29">IF(P61&gt;0,(F61/P61),0)</f>
        <v>1388.94111111111</v>
      </c>
      <c r="V61" s="95">
        <f t="shared" ref="V61" si="30">(L61*F61)</f>
        <v>84003.1584</v>
      </c>
      <c r="AM61" s="40"/>
    </row>
    <row r="62" spans="2:39">
      <c r="F62" s="98">
        <f>SUM(F45:F61)</f>
        <v>263845.38</v>
      </c>
      <c r="G62" s="99">
        <f>(H62/F62)</f>
        <v>8.53601759647477</v>
      </c>
      <c r="H62" s="98">
        <f>SUM(H45:H61)</f>
        <v>2252188.80642857</v>
      </c>
      <c r="R62" s="98">
        <f>SUM(R45:R59)</f>
        <v>64734.59</v>
      </c>
      <c r="S62" s="40"/>
      <c r="T62" s="40"/>
      <c r="V62" s="41"/>
      <c r="AM62" s="40"/>
    </row>
  </sheetData>
  <autoFilter xmlns:etc="http://www.wps.cn/officeDocument/2017/etCustomData" ref="B4:U36" etc:filterBottomFollowUsedRange="0">
    <sortState ref="B4:U36">
      <sortCondition ref="R4:R35" descending="1"/>
    </sortState>
    <extLst/>
  </autoFilter>
  <mergeCells count="2">
    <mergeCell ref="B2:J2"/>
    <mergeCell ref="B41:J41"/>
  </mergeCells>
  <conditionalFormatting sqref="Q5:Q35">
    <cfRule type="cellIs" dxfId="5" priority="7" operator="lessThan">
      <formula>30</formula>
    </cfRule>
    <cfRule type="cellIs" dxfId="6" priority="8" operator="between">
      <formula>30</formula>
      <formula>40</formula>
    </cfRule>
    <cfRule type="cellIs" dxfId="7" priority="9" operator="greaterThan">
      <formula>40</formula>
    </cfRule>
  </conditionalFormatting>
  <conditionalFormatting sqref="Q45:Q61">
    <cfRule type="cellIs" dxfId="5" priority="1" operator="lessThan">
      <formula>30</formula>
    </cfRule>
    <cfRule type="cellIs" dxfId="6" priority="2" operator="between">
      <formula>30</formula>
      <formula>40</formula>
    </cfRule>
    <cfRule type="cellIs" dxfId="7" priority="3" operator="greaterThan">
      <formula>40</formula>
    </cfRule>
  </conditionalFormatting>
  <dataValidations count="2">
    <dataValidation type="list" allowBlank="1" showInputMessage="1" showErrorMessage="1" sqref="J35 I5:J9 I30:J34 I16:J23 I45:J55">
      <formula1>Inputs!$B$3:$B$4</formula1>
    </dataValidation>
    <dataValidation type="list" allowBlank="1" showInputMessage="1" showErrorMessage="1" sqref="I24:I29 I35:I39 I56:I61">
      <formula1>Inputs!$D$3:$D$5</formula1>
    </dataValidation>
  </dataValidations>
  <pageMargins left="0.708661417322835" right="0.708661417322835" top="0.748031496062992" bottom="0.748031496062992" header="0.31496062992126" footer="0.31496062992126"/>
  <pageSetup paperSize="8" scale="63" orientation="landscape"/>
  <headerFooter/>
  <colBreaks count="1" manualBreakCount="1">
    <brk id="22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Q73"/>
  <sheetViews>
    <sheetView workbookViewId="0">
      <selection activeCell="G66" sqref="G66"/>
    </sheetView>
  </sheetViews>
  <sheetFormatPr defaultColWidth="9" defaultRowHeight="14.4"/>
  <cols>
    <col min="1" max="1" width="8.71296296296296" style="40"/>
    <col min="2" max="2" width="21.712962962963" style="40" customWidth="1"/>
    <col min="3" max="3" width="17.287037037037" style="41" customWidth="1"/>
    <col min="4" max="4" width="19.287037037037" style="40" customWidth="1"/>
    <col min="5" max="5" width="11.287037037037" style="41" customWidth="1"/>
    <col min="6" max="6" width="11.712962962963" style="40" customWidth="1"/>
    <col min="7" max="7" width="11" style="40" customWidth="1"/>
    <col min="8" max="8" width="13.5740740740741" style="41" customWidth="1"/>
    <col min="9" max="9" width="12" style="40" customWidth="1"/>
    <col min="10" max="10" width="7.42592592592593" style="40" customWidth="1"/>
    <col min="11" max="12" width="9.71296296296296" style="40" customWidth="1"/>
    <col min="13" max="17" width="8.71296296296296" style="40"/>
  </cols>
  <sheetData>
    <row r="2" ht="15.15" spans="2:12">
      <c r="B2" s="42" t="s">
        <v>105</v>
      </c>
    </row>
    <row r="3" ht="15.15" spans="2:12">
      <c r="H3" s="43" t="s">
        <v>106</v>
      </c>
      <c r="I3" s="44"/>
      <c r="J3" s="44"/>
      <c r="K3" s="45"/>
    </row>
    <row r="4" ht="12.6" customHeight="1" spans="2:12">
      <c r="I4" s="41">
        <v>22</v>
      </c>
      <c r="J4" s="46">
        <v>9.67</v>
      </c>
      <c r="K4" s="46">
        <v>65000</v>
      </c>
    </row>
    <row r="5" ht="15.15" spans="2:12">
      <c r="C5" s="47" t="s">
        <v>107</v>
      </c>
      <c r="D5" s="47" t="s">
        <v>108</v>
      </c>
      <c r="E5" s="47" t="s">
        <v>17</v>
      </c>
      <c r="F5" s="47" t="s">
        <v>109</v>
      </c>
      <c r="G5" s="47" t="s">
        <v>110</v>
      </c>
      <c r="H5" s="47" t="s">
        <v>111</v>
      </c>
      <c r="I5" s="47" t="s">
        <v>112</v>
      </c>
      <c r="J5" s="47" t="s">
        <v>113</v>
      </c>
      <c r="K5" s="47" t="s">
        <v>114</v>
      </c>
      <c r="L5" s="47" t="s">
        <v>115</v>
      </c>
    </row>
    <row r="6" ht="23.65" customHeight="1" spans="2:12">
      <c r="B6" s="48" t="s">
        <v>116</v>
      </c>
      <c r="C6" s="46">
        <v>11</v>
      </c>
      <c r="D6" s="46">
        <v>10</v>
      </c>
      <c r="E6" s="41">
        <v>18</v>
      </c>
      <c r="F6" s="46">
        <v>10</v>
      </c>
      <c r="G6" s="49">
        <v>1500</v>
      </c>
      <c r="H6" s="50">
        <f>(G6*D6*E6)</f>
        <v>270000</v>
      </c>
      <c r="I6" s="50">
        <f>($I$4*G6)</f>
        <v>33000</v>
      </c>
      <c r="J6" s="50">
        <f>($J$4*G6)</f>
        <v>14505</v>
      </c>
    </row>
    <row r="7" spans="2:12">
      <c r="B7" s="48" t="s">
        <v>117</v>
      </c>
      <c r="C7" s="46">
        <v>9.75</v>
      </c>
      <c r="D7" s="46">
        <v>9</v>
      </c>
      <c r="E7" s="41">
        <v>20</v>
      </c>
      <c r="F7" s="46">
        <v>10</v>
      </c>
      <c r="G7" s="49">
        <v>1500</v>
      </c>
      <c r="H7" s="50">
        <f>(G7*D7*E7)</f>
        <v>270000</v>
      </c>
      <c r="I7" s="50">
        <f>($I$4*G7)</f>
        <v>33000</v>
      </c>
      <c r="J7" s="50">
        <f>($J$4*G7)</f>
        <v>14505</v>
      </c>
    </row>
    <row r="8" spans="2:12">
      <c r="B8" s="48" t="s">
        <v>118</v>
      </c>
      <c r="C8" s="46">
        <v>9.6</v>
      </c>
      <c r="D8" s="46">
        <v>7.9</v>
      </c>
      <c r="E8" s="41">
        <v>14</v>
      </c>
      <c r="F8" s="46">
        <v>0</v>
      </c>
      <c r="G8" s="49">
        <v>2000</v>
      </c>
      <c r="H8" s="50">
        <f>(G8*D8*E8)</f>
        <v>221200</v>
      </c>
      <c r="I8" s="50">
        <f>($I$4*G8)</f>
        <v>44000</v>
      </c>
      <c r="J8" s="50">
        <f>($J$4*G8)</f>
        <v>19340</v>
      </c>
    </row>
    <row r="9" spans="2:12">
      <c r="B9" s="48" t="s">
        <v>119</v>
      </c>
      <c r="C9" s="46">
        <v>6.85</v>
      </c>
      <c r="D9" s="46">
        <v>3.2</v>
      </c>
      <c r="E9" s="41">
        <v>17</v>
      </c>
      <c r="F9" s="46">
        <v>12.5</v>
      </c>
      <c r="G9" s="49">
        <v>2800</v>
      </c>
      <c r="H9" s="50">
        <f>(G9*D9*E9)</f>
        <v>152320</v>
      </c>
      <c r="I9" s="50">
        <f>($I$4*G9)</f>
        <v>61600</v>
      </c>
      <c r="J9" s="50">
        <f>($J$4*G9)</f>
        <v>27076</v>
      </c>
    </row>
    <row r="10" ht="15.15" spans="2:12">
      <c r="C10" s="46"/>
      <c r="D10" s="46"/>
      <c r="F10" s="46"/>
      <c r="G10" s="51">
        <f>SUM(G6:G9)</f>
        <v>7800</v>
      </c>
      <c r="H10" s="52">
        <f>SUM(H6:H9)</f>
        <v>913520</v>
      </c>
      <c r="I10" s="52">
        <f>SUM(I6:I9)</f>
        <v>171600</v>
      </c>
      <c r="J10" s="52">
        <f>SUM(J6:J9)</f>
        <v>75426</v>
      </c>
      <c r="K10" s="52">
        <f>(K4*1)</f>
        <v>65000</v>
      </c>
      <c r="L10" s="52">
        <f>SUM(H10:K10)</f>
        <v>1225546</v>
      </c>
    </row>
    <row r="11" hidden="1" spans="2:12">
      <c r="E11" s="53">
        <v>10000</v>
      </c>
    </row>
    <row r="12" ht="67.2" hidden="1" spans="2:12">
      <c r="C12" s="54" t="s">
        <v>120</v>
      </c>
      <c r="D12" s="54" t="s">
        <v>121</v>
      </c>
      <c r="E12" s="54" t="s">
        <v>122</v>
      </c>
    </row>
    <row r="13" ht="16.8" hidden="1" spans="2:12">
      <c r="C13" s="55" t="s">
        <v>123</v>
      </c>
      <c r="D13" s="54">
        <v>0.12</v>
      </c>
      <c r="E13" s="56">
        <f>($E$11/D13)</f>
        <v>83333.3333333333</v>
      </c>
    </row>
    <row r="14" ht="16.8" hidden="1" spans="2:12">
      <c r="C14" s="55" t="s">
        <v>124</v>
      </c>
      <c r="D14" s="54">
        <v>0.25</v>
      </c>
      <c r="E14" s="56">
        <f>($E$11/D14)</f>
        <v>40000</v>
      </c>
    </row>
    <row r="15" ht="28.8" hidden="1" spans="2:12">
      <c r="C15" s="55" t="s">
        <v>125</v>
      </c>
      <c r="D15" s="54">
        <v>0.18</v>
      </c>
      <c r="E15" s="57">
        <f t="shared" ref="E15:E20" si="0">($E$11/D15)</f>
        <v>55555.5555555556</v>
      </c>
    </row>
    <row r="16" ht="16.8" hidden="1" spans="2:12">
      <c r="C16" s="55" t="s">
        <v>126</v>
      </c>
      <c r="D16" s="54">
        <v>0.65</v>
      </c>
      <c r="E16" s="56">
        <f t="shared" si="0"/>
        <v>15384.6153846154</v>
      </c>
    </row>
    <row r="17" ht="16.8" hidden="1" spans="3:5">
      <c r="C17" s="55" t="s">
        <v>127</v>
      </c>
      <c r="D17" s="54">
        <v>0.6</v>
      </c>
      <c r="E17" s="56">
        <f t="shared" si="0"/>
        <v>16666.6666666667</v>
      </c>
    </row>
    <row r="18" ht="16.8" hidden="1" spans="3:5">
      <c r="C18" s="55" t="s">
        <v>128</v>
      </c>
      <c r="D18" s="54">
        <v>0.18</v>
      </c>
      <c r="E18" s="56">
        <f t="shared" si="0"/>
        <v>55555.5555555556</v>
      </c>
    </row>
    <row r="19" ht="28.8" hidden="1" spans="3:5">
      <c r="C19" s="55" t="s">
        <v>129</v>
      </c>
      <c r="D19" s="54">
        <v>0.12</v>
      </c>
      <c r="E19" s="56">
        <f t="shared" si="0"/>
        <v>83333.3333333333</v>
      </c>
    </row>
    <row r="20" ht="16.8" hidden="1" spans="3:5">
      <c r="C20" s="55" t="s">
        <v>130</v>
      </c>
      <c r="D20" s="54">
        <v>0.84</v>
      </c>
      <c r="E20" s="56">
        <f t="shared" si="0"/>
        <v>11904.7619047619</v>
      </c>
    </row>
    <row r="21" hidden="1"/>
    <row r="22" hidden="1"/>
    <row r="25" spans="3:5">
      <c r="C25" s="58" t="s">
        <v>131</v>
      </c>
    </row>
    <row r="26" spans="3:5">
      <c r="C26" s="59" t="s">
        <v>132</v>
      </c>
      <c r="D26" s="60"/>
      <c r="E26" s="61">
        <v>1</v>
      </c>
    </row>
    <row r="27" spans="3:5">
      <c r="C27" s="59" t="s">
        <v>133</v>
      </c>
      <c r="D27" s="60"/>
      <c r="E27" s="61">
        <v>2</v>
      </c>
    </row>
    <row r="28" spans="3:5">
      <c r="C28" s="59" t="s">
        <v>134</v>
      </c>
      <c r="D28" s="60"/>
      <c r="E28" s="61">
        <v>3</v>
      </c>
    </row>
    <row r="29" spans="3:5">
      <c r="C29" s="59" t="s">
        <v>135</v>
      </c>
      <c r="D29" s="60"/>
      <c r="E29" s="61">
        <v>5</v>
      </c>
    </row>
    <row r="30" ht="15.15" spans="3:5">
      <c r="C30" s="59" t="s">
        <v>136</v>
      </c>
      <c r="D30" s="60"/>
      <c r="E30" s="61">
        <v>5</v>
      </c>
    </row>
    <row r="31" ht="15.15" spans="3:5">
      <c r="C31" s="59" t="s">
        <v>137</v>
      </c>
      <c r="E31" s="62">
        <f>(L10*E30)</f>
        <v>6127730</v>
      </c>
    </row>
    <row r="35" spans="1:17">
      <c r="B35" s="42" t="s">
        <v>138</v>
      </c>
    </row>
    <row r="37" s="39" customFormat="1" ht="28.8" spans="1:17">
      <c r="A37" s="63"/>
      <c r="B37" s="63"/>
      <c r="C37" s="64" t="s">
        <v>139</v>
      </c>
      <c r="D37" s="64" t="s">
        <v>140</v>
      </c>
      <c r="E37" s="65" t="s">
        <v>141</v>
      </c>
      <c r="F37" s="65" t="s">
        <v>142</v>
      </c>
      <c r="G37" s="65" t="s">
        <v>143</v>
      </c>
      <c r="H37" s="64" t="s">
        <v>144</v>
      </c>
      <c r="I37" s="64" t="s">
        <v>145</v>
      </c>
      <c r="K37" s="63"/>
      <c r="L37" s="63"/>
      <c r="M37" s="63"/>
      <c r="N37" s="63"/>
      <c r="O37" s="63"/>
      <c r="P37" s="63"/>
      <c r="Q37" s="63"/>
    </row>
    <row r="38" spans="1:17">
      <c r="B38" s="48" t="s">
        <v>116</v>
      </c>
      <c r="C38" s="66">
        <v>30</v>
      </c>
      <c r="D38" s="66">
        <v>19.25</v>
      </c>
      <c r="E38" s="66">
        <v>9.67</v>
      </c>
      <c r="F38" s="66">
        <f>(C38-D38-E38)</f>
        <v>1.08</v>
      </c>
      <c r="G38" s="67">
        <f>(F38*G6)</f>
        <v>1620</v>
      </c>
      <c r="H38" s="67">
        <f>(H42/$G$10)*G6</f>
        <v>38680.9134615385</v>
      </c>
      <c r="I38" s="67">
        <f>(G38-H38)</f>
        <v>-37060.9134615385</v>
      </c>
    </row>
    <row r="39" spans="1:17">
      <c r="B39" s="48" t="s">
        <v>117</v>
      </c>
      <c r="C39" s="66">
        <v>30</v>
      </c>
      <c r="D39" s="66">
        <v>19.25</v>
      </c>
      <c r="E39" s="66">
        <v>9.67</v>
      </c>
      <c r="F39" s="66">
        <f>(C39-D39-E39)</f>
        <v>1.08</v>
      </c>
      <c r="G39" s="67">
        <f>(F39*G7)</f>
        <v>1620</v>
      </c>
      <c r="H39" s="67">
        <f>(H42/$G$10)*G7</f>
        <v>38680.9134615385</v>
      </c>
      <c r="I39" s="67">
        <f>(G39-H39)</f>
        <v>-37060.9134615385</v>
      </c>
    </row>
    <row r="40" spans="1:17">
      <c r="B40" s="48" t="s">
        <v>118</v>
      </c>
      <c r="C40" s="66">
        <v>30</v>
      </c>
      <c r="D40" s="66">
        <v>19.25</v>
      </c>
      <c r="E40" s="66">
        <v>9.67</v>
      </c>
      <c r="F40" s="66">
        <f>(C40-D40-E40)</f>
        <v>1.08</v>
      </c>
      <c r="G40" s="67">
        <f>(F40*G8)</f>
        <v>2160</v>
      </c>
      <c r="H40" s="67">
        <f>(H42/$G$10)*G8</f>
        <v>51574.5512820513</v>
      </c>
      <c r="I40" s="67">
        <f>(G40-H40)</f>
        <v>-49414.5512820513</v>
      </c>
    </row>
    <row r="41" spans="1:17">
      <c r="B41" s="68" t="s">
        <v>119</v>
      </c>
      <c r="C41" s="69">
        <v>76.4</v>
      </c>
      <c r="D41" s="70">
        <v>19.25</v>
      </c>
      <c r="E41" s="70">
        <v>9.67</v>
      </c>
      <c r="F41" s="70">
        <f>(C41-D41-E41)</f>
        <v>47.48</v>
      </c>
      <c r="G41" s="67">
        <f>(F41*G9)</f>
        <v>132944</v>
      </c>
      <c r="H41" s="67">
        <f>(H42/$G$10)*G9</f>
        <v>72204.3717948718</v>
      </c>
      <c r="I41" s="67">
        <f>(G41-H41)</f>
        <v>60739.6282051282</v>
      </c>
    </row>
    <row r="42" ht="15.15" spans="1:17">
      <c r="F42" s="71">
        <f>(G42/G10)</f>
        <v>17.7364102564103</v>
      </c>
      <c r="G42" s="72">
        <f>SUM(G38:G41)</f>
        <v>138344</v>
      </c>
      <c r="H42" s="72">
        <f>(804563/4)</f>
        <v>201140.75</v>
      </c>
      <c r="I42" s="72">
        <f>(G42-H42)</f>
        <v>-62796.75</v>
      </c>
    </row>
    <row r="46" spans="1:17">
      <c r="B46" s="42" t="s">
        <v>146</v>
      </c>
    </row>
    <row r="48" spans="1:17">
      <c r="B48" s="42" t="s">
        <v>147</v>
      </c>
    </row>
    <row r="50" spans="2:4">
      <c r="B50" s="40" t="s">
        <v>148</v>
      </c>
      <c r="C50" s="41" t="s">
        <v>149</v>
      </c>
    </row>
    <row r="51" spans="2:4">
      <c r="B51" s="40" t="s">
        <v>150</v>
      </c>
      <c r="C51" s="46">
        <v>1.64</v>
      </c>
    </row>
    <row r="52" spans="2:4">
      <c r="B52" s="40" t="s">
        <v>151</v>
      </c>
      <c r="C52" s="46">
        <v>2</v>
      </c>
    </row>
    <row r="53" hidden="1" spans="2:4">
      <c r="C53" s="46">
        <f>(C51*G6)</f>
        <v>2460</v>
      </c>
    </row>
    <row r="54" hidden="1" spans="2:4">
      <c r="C54" s="46">
        <f>(C52)*(G6+G7)</f>
        <v>6000</v>
      </c>
    </row>
    <row r="55" ht="15.15" spans="2:4">
      <c r="B55" s="40" t="s">
        <v>152</v>
      </c>
      <c r="C55" s="52">
        <f>SUM(C53:C54)</f>
        <v>8460</v>
      </c>
    </row>
    <row r="56" spans="2:4">
      <c r="C56" s="50"/>
    </row>
    <row r="57" spans="2:4">
      <c r="C57" s="50"/>
    </row>
    <row r="58" spans="2:4">
      <c r="B58" s="42" t="s">
        <v>153</v>
      </c>
      <c r="C58" s="50"/>
    </row>
    <row r="59" spans="2:4">
      <c r="B59" s="40" t="s">
        <v>154</v>
      </c>
      <c r="C59" s="50"/>
      <c r="D59" s="46">
        <v>3</v>
      </c>
    </row>
    <row r="60" ht="15.15" spans="2:4">
      <c r="B60" s="40" t="s">
        <v>155</v>
      </c>
      <c r="C60" s="50"/>
      <c r="D60" s="52">
        <f>(D59*E8*200)</f>
        <v>8400</v>
      </c>
    </row>
    <row r="61" spans="2:4">
      <c r="C61" s="50"/>
    </row>
    <row r="63" spans="2:4">
      <c r="B63" s="42" t="s">
        <v>156</v>
      </c>
    </row>
    <row r="64" spans="2:4">
      <c r="B64" s="40" t="s">
        <v>157</v>
      </c>
    </row>
    <row r="65" spans="2:4">
      <c r="B65" s="40" t="s">
        <v>158</v>
      </c>
      <c r="C65" s="46">
        <v>2.5</v>
      </c>
    </row>
    <row r="66" ht="15.15" spans="2:4">
      <c r="B66" s="40" t="s">
        <v>159</v>
      </c>
      <c r="C66" s="52">
        <f>(C65*G10)</f>
        <v>19500</v>
      </c>
    </row>
    <row r="68" spans="2:4">
      <c r="B68" s="40" t="s">
        <v>160</v>
      </c>
    </row>
    <row r="69" ht="15.15" spans="2:4">
      <c r="B69" s="40" t="s">
        <v>161</v>
      </c>
      <c r="C69" s="52">
        <v>25000</v>
      </c>
      <c r="D69" s="73">
        <f>(C69/804563)</f>
        <v>0.0310727686955527</v>
      </c>
    </row>
    <row r="73" ht="15.15" spans="2:4">
      <c r="B73" s="40" t="s">
        <v>162</v>
      </c>
      <c r="C73" s="52">
        <f>(C69+C66+C55+D60)</f>
        <v>61360</v>
      </c>
    </row>
  </sheetData>
  <mergeCells count="1">
    <mergeCell ref="H3:K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H11"/>
  <sheetViews>
    <sheetView workbookViewId="0">
      <selection activeCell="G66" sqref="G66"/>
    </sheetView>
  </sheetViews>
  <sheetFormatPr defaultColWidth="9" defaultRowHeight="14.4" outlineLevelCol="7"/>
  <cols>
    <col min="2" max="2" width="16" customWidth="1"/>
    <col min="3" max="3" width="18.4259259259259" customWidth="1"/>
    <col min="4" max="5" width="16.712962962963" customWidth="1"/>
    <col min="6" max="6" width="15.5740740740741" customWidth="1"/>
    <col min="7" max="7" width="20.5740740740741" customWidth="1"/>
  </cols>
  <sheetData>
    <row r="1" spans="2:8">
      <c r="E1" s="1">
        <v>3000</v>
      </c>
      <c r="F1" s="1"/>
    </row>
    <row r="2" ht="54" customHeight="1" spans="2:8">
      <c r="B2" s="32" t="s">
        <v>120</v>
      </c>
      <c r="C2" s="32" t="s">
        <v>121</v>
      </c>
      <c r="D2" s="32" t="s">
        <v>122</v>
      </c>
      <c r="E2" s="32" t="s">
        <v>163</v>
      </c>
      <c r="F2" s="32" t="s">
        <v>164</v>
      </c>
      <c r="G2" s="32" t="s">
        <v>165</v>
      </c>
    </row>
    <row r="3" ht="16.8" spans="2:8">
      <c r="B3" s="33" t="s">
        <v>123</v>
      </c>
      <c r="C3" s="34">
        <v>0.12</v>
      </c>
      <c r="D3" s="35">
        <v>83333.3333333333</v>
      </c>
      <c r="E3" s="35">
        <v>800</v>
      </c>
      <c r="F3" s="35">
        <f>(E3/C3)/$E$1</f>
        <v>2.22222222222222</v>
      </c>
      <c r="G3" s="36"/>
      <c r="H3" s="36">
        <v>1.65</v>
      </c>
    </row>
    <row r="4" ht="16.8" spans="2:8">
      <c r="B4" s="33" t="s">
        <v>124</v>
      </c>
      <c r="C4" s="34">
        <v>0.25</v>
      </c>
      <c r="D4" s="35">
        <v>40000</v>
      </c>
      <c r="E4" s="35">
        <v>800</v>
      </c>
      <c r="F4" s="35">
        <f>(E4/C4)/$E$1</f>
        <v>1.06666666666667</v>
      </c>
      <c r="G4" s="36">
        <v>1.47</v>
      </c>
    </row>
    <row r="5" ht="28.8" spans="2:8">
      <c r="B5" s="33" t="s">
        <v>125</v>
      </c>
      <c r="C5" s="34">
        <v>0.18</v>
      </c>
      <c r="D5" s="37">
        <v>55555.5555555556</v>
      </c>
      <c r="E5" s="37">
        <v>800</v>
      </c>
      <c r="F5" s="35">
        <f t="shared" ref="F5:F10" si="0">(E5/C5)/$E$1</f>
        <v>1.48148148148148</v>
      </c>
      <c r="G5" s="36">
        <v>0.84</v>
      </c>
    </row>
    <row r="6" ht="16.8" spans="2:8">
      <c r="B6" s="33" t="s">
        <v>126</v>
      </c>
      <c r="C6" s="34">
        <v>0.65</v>
      </c>
      <c r="D6" s="35">
        <v>15384.6153846154</v>
      </c>
      <c r="E6" s="35">
        <v>800</v>
      </c>
      <c r="F6" s="35">
        <f t="shared" si="0"/>
        <v>0.41025641025641</v>
      </c>
      <c r="G6" s="36">
        <v>2.1</v>
      </c>
    </row>
    <row r="7" ht="16.8" spans="2:8">
      <c r="B7" s="33" t="s">
        <v>127</v>
      </c>
      <c r="C7" s="34">
        <v>0.6</v>
      </c>
      <c r="D7" s="35">
        <v>16666.6666666667</v>
      </c>
      <c r="E7" s="35">
        <v>800</v>
      </c>
      <c r="F7" s="35">
        <f t="shared" si="0"/>
        <v>0.444444444444444</v>
      </c>
      <c r="G7" s="36">
        <v>1.62</v>
      </c>
    </row>
    <row r="8" ht="16.8" spans="2:8">
      <c r="B8" s="33" t="s">
        <v>128</v>
      </c>
      <c r="C8" s="34">
        <v>0.18</v>
      </c>
      <c r="D8" s="35">
        <v>55555.5555555556</v>
      </c>
      <c r="E8" s="35">
        <v>800</v>
      </c>
      <c r="F8" s="35">
        <f t="shared" si="0"/>
        <v>1.48148148148148</v>
      </c>
      <c r="G8" s="36">
        <v>1.56</v>
      </c>
    </row>
    <row r="9" ht="28.8" spans="2:8">
      <c r="B9" s="33" t="s">
        <v>129</v>
      </c>
      <c r="C9" s="34">
        <v>0.12</v>
      </c>
      <c r="D9" s="35">
        <v>83333.3333333333</v>
      </c>
      <c r="E9" s="35">
        <v>800</v>
      </c>
      <c r="F9" s="35">
        <f t="shared" si="0"/>
        <v>2.22222222222222</v>
      </c>
      <c r="G9" s="36"/>
      <c r="H9" s="36">
        <v>1.44</v>
      </c>
    </row>
    <row r="10" ht="16.8" spans="2:8">
      <c r="B10" s="33" t="s">
        <v>130</v>
      </c>
      <c r="C10" s="34">
        <v>0.84</v>
      </c>
      <c r="D10" s="35">
        <v>11904.7619047619</v>
      </c>
      <c r="E10" s="35">
        <v>10000</v>
      </c>
      <c r="F10" s="35">
        <f t="shared" si="0"/>
        <v>3.96825396825397</v>
      </c>
      <c r="G10" s="36">
        <v>4.38</v>
      </c>
    </row>
    <row r="11" ht="15.15" spans="2:8">
      <c r="G11" s="38">
        <f>SUM(G3:G10)</f>
        <v>11.97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373"/>
  <sheetViews>
    <sheetView topLeftCell="B1" workbookViewId="0">
      <pane ySplit="2" topLeftCell="A5" activePane="bottomLeft" state="frozen"/>
      <selection/>
      <selection pane="bottomLeft" activeCell="G66" sqref="G66"/>
    </sheetView>
  </sheetViews>
  <sheetFormatPr defaultColWidth="9.28703703703704" defaultRowHeight="14.4"/>
  <cols>
    <col min="1" max="1" width="15.712962962963" style="24" customWidth="1"/>
    <col min="2" max="2" width="20.712962962963" style="24" customWidth="1"/>
    <col min="3" max="3" width="10.5740740740741" style="24" customWidth="1"/>
    <col min="4" max="6" width="9.28703703703704" style="24"/>
    <col min="7" max="8" width="9.28703703703704" style="25"/>
    <col min="9" max="9" width="8.28703703703704" style="25" customWidth="1"/>
    <col min="10" max="16384" width="9.28703703703704" style="24"/>
  </cols>
  <sheetData>
    <row r="1" ht="17.4" spans="1:9">
      <c r="A1" s="26" t="s">
        <v>166</v>
      </c>
      <c r="B1" s="27"/>
      <c r="C1" s="27"/>
    </row>
    <row r="2" ht="15.15" spans="1:9">
      <c r="A2" s="24" t="s">
        <v>167</v>
      </c>
      <c r="B2" s="24" t="s">
        <v>168</v>
      </c>
      <c r="G2" s="25" t="s">
        <v>169</v>
      </c>
      <c r="H2" s="25" t="s">
        <v>110</v>
      </c>
      <c r="I2" s="25" t="s">
        <v>170</v>
      </c>
    </row>
    <row r="3" ht="15.15" spans="1:9">
      <c r="A3" s="28">
        <v>45474</v>
      </c>
      <c r="B3" s="24">
        <v>266</v>
      </c>
      <c r="C3" s="29">
        <f>WEEKNUM(A3,2)</f>
        <v>27</v>
      </c>
      <c r="D3" s="24" t="str">
        <f>TEXT(A3,"mmm")</f>
        <v>Jul</v>
      </c>
      <c r="G3" s="25">
        <v>27</v>
      </c>
      <c r="H3" s="25">
        <f>SUMIF(C:C,G3,B:B)</f>
        <v>1414</v>
      </c>
      <c r="I3" s="25" t="str">
        <f>VLOOKUP(G3,C:D,2,FALSE)</f>
        <v>Jul</v>
      </c>
    </row>
    <row r="4" ht="15.15" spans="1:9">
      <c r="A4" s="28">
        <v>45475</v>
      </c>
      <c r="B4" s="24">
        <v>130</v>
      </c>
      <c r="C4" s="29">
        <f t="shared" ref="C4:C67" si="0">WEEKNUM(A4,2)</f>
        <v>27</v>
      </c>
      <c r="D4" s="24" t="str">
        <f t="shared" ref="D4:D67" si="1">TEXT(A4,"mmm")</f>
        <v>Jul</v>
      </c>
      <c r="G4" s="25">
        <v>28</v>
      </c>
      <c r="H4" s="25">
        <f t="shared" ref="H4:H19" si="2">SUMIF(C:C,G4,B:B)</f>
        <v>1791</v>
      </c>
      <c r="I4" s="25" t="str">
        <f t="shared" ref="I4:I19" si="3">VLOOKUP(G4,C:D,2,FALSE)</f>
        <v>Jul</v>
      </c>
    </row>
    <row r="5" ht="15.15" spans="1:9">
      <c r="A5" s="28">
        <v>45476</v>
      </c>
      <c r="B5" s="24">
        <v>63</v>
      </c>
      <c r="C5" s="29">
        <f t="shared" si="0"/>
        <v>27</v>
      </c>
      <c r="D5" s="24" t="str">
        <f t="shared" si="1"/>
        <v>Jul</v>
      </c>
      <c r="G5" s="25">
        <v>29</v>
      </c>
      <c r="H5" s="25">
        <f t="shared" si="2"/>
        <v>1384</v>
      </c>
      <c r="I5" s="25" t="str">
        <f t="shared" si="3"/>
        <v>Jul</v>
      </c>
    </row>
    <row r="6" ht="15.15" spans="1:9">
      <c r="A6" s="28">
        <v>45477</v>
      </c>
      <c r="B6" s="24">
        <v>392</v>
      </c>
      <c r="C6" s="29">
        <f t="shared" si="0"/>
        <v>27</v>
      </c>
      <c r="D6" s="24" t="str">
        <f t="shared" si="1"/>
        <v>Jul</v>
      </c>
      <c r="G6" s="25">
        <v>30</v>
      </c>
      <c r="H6" s="25">
        <f t="shared" si="2"/>
        <v>1819</v>
      </c>
      <c r="I6" s="25" t="str">
        <f t="shared" si="3"/>
        <v>Jul</v>
      </c>
    </row>
    <row r="7" ht="15.15" spans="1:9">
      <c r="A7" s="28">
        <v>45478</v>
      </c>
      <c r="B7" s="24">
        <v>23</v>
      </c>
      <c r="C7" s="29">
        <f t="shared" si="0"/>
        <v>27</v>
      </c>
      <c r="D7" s="24" t="str">
        <f t="shared" si="1"/>
        <v>Jul</v>
      </c>
      <c r="G7" s="25">
        <v>31</v>
      </c>
      <c r="H7" s="25">
        <f t="shared" si="2"/>
        <v>2256</v>
      </c>
      <c r="I7" s="25" t="str">
        <f t="shared" si="3"/>
        <v>Jul</v>
      </c>
    </row>
    <row r="8" ht="15.15" spans="1:9">
      <c r="A8" s="28">
        <v>45481</v>
      </c>
      <c r="B8" s="24">
        <v>314</v>
      </c>
      <c r="C8" s="29">
        <f t="shared" si="0"/>
        <v>28</v>
      </c>
      <c r="D8" s="24" t="str">
        <f t="shared" si="1"/>
        <v>Jul</v>
      </c>
      <c r="G8" s="25">
        <v>32</v>
      </c>
      <c r="H8" s="25">
        <f t="shared" si="2"/>
        <v>3248</v>
      </c>
      <c r="I8" s="25" t="str">
        <f t="shared" si="3"/>
        <v>Aug</v>
      </c>
    </row>
    <row r="9" ht="15.15" spans="1:9">
      <c r="A9" s="28">
        <v>45482</v>
      </c>
      <c r="B9" s="24">
        <v>243</v>
      </c>
      <c r="C9" s="29">
        <f t="shared" si="0"/>
        <v>28</v>
      </c>
      <c r="D9" s="24" t="str">
        <f t="shared" si="1"/>
        <v>Jul</v>
      </c>
      <c r="G9" s="25">
        <v>33</v>
      </c>
      <c r="H9" s="25">
        <f t="shared" si="2"/>
        <v>4761</v>
      </c>
      <c r="I9" s="25" t="str">
        <f t="shared" si="3"/>
        <v>Aug</v>
      </c>
    </row>
    <row r="10" ht="15.15" spans="1:9">
      <c r="A10" s="28">
        <v>45483</v>
      </c>
      <c r="B10" s="24">
        <v>64</v>
      </c>
      <c r="C10" s="29">
        <f t="shared" si="0"/>
        <v>28</v>
      </c>
      <c r="D10" s="24" t="str">
        <f t="shared" si="1"/>
        <v>Jul</v>
      </c>
      <c r="G10" s="25">
        <v>34</v>
      </c>
      <c r="H10" s="25">
        <f t="shared" si="2"/>
        <v>8106</v>
      </c>
      <c r="I10" s="25" t="str">
        <f t="shared" si="3"/>
        <v>Aug</v>
      </c>
    </row>
    <row r="11" ht="15.15" spans="1:9">
      <c r="A11" s="28">
        <v>45484</v>
      </c>
      <c r="B11" s="24">
        <v>378</v>
      </c>
      <c r="C11" s="29">
        <f t="shared" si="0"/>
        <v>28</v>
      </c>
      <c r="D11" s="24" t="str">
        <f t="shared" si="1"/>
        <v>Jul</v>
      </c>
      <c r="G11" s="25">
        <v>35</v>
      </c>
      <c r="H11" s="25">
        <f t="shared" si="2"/>
        <v>8315</v>
      </c>
      <c r="I11" s="25" t="str">
        <f t="shared" si="3"/>
        <v>Aug</v>
      </c>
    </row>
    <row r="12" ht="15.15" spans="1:9">
      <c r="A12" s="28">
        <v>45485</v>
      </c>
      <c r="B12" s="24">
        <v>107</v>
      </c>
      <c r="C12" s="29">
        <f t="shared" si="0"/>
        <v>28</v>
      </c>
      <c r="D12" s="24" t="str">
        <f t="shared" si="1"/>
        <v>Jul</v>
      </c>
      <c r="G12" s="25">
        <v>36</v>
      </c>
      <c r="H12" s="25">
        <f t="shared" si="2"/>
        <v>6858</v>
      </c>
      <c r="I12" s="25" t="str">
        <f t="shared" si="3"/>
        <v>Sep</v>
      </c>
    </row>
    <row r="13" ht="15.15" spans="1:9">
      <c r="A13" s="28">
        <v>45488</v>
      </c>
      <c r="B13" s="24">
        <v>406</v>
      </c>
      <c r="C13" s="29">
        <f t="shared" si="0"/>
        <v>29</v>
      </c>
      <c r="D13" s="24" t="str">
        <f t="shared" si="1"/>
        <v>Jul</v>
      </c>
      <c r="G13" s="25">
        <v>37</v>
      </c>
      <c r="H13" s="25">
        <f t="shared" si="2"/>
        <v>6561</v>
      </c>
      <c r="I13" s="25" t="str">
        <f t="shared" si="3"/>
        <v>Sep</v>
      </c>
    </row>
    <row r="14" ht="15.15" spans="1:9">
      <c r="A14" s="28">
        <v>45489</v>
      </c>
      <c r="B14" s="24">
        <v>249</v>
      </c>
      <c r="C14" s="29">
        <f t="shared" si="0"/>
        <v>29</v>
      </c>
      <c r="D14" s="24" t="str">
        <f t="shared" si="1"/>
        <v>Jul</v>
      </c>
      <c r="G14" s="25">
        <v>38</v>
      </c>
      <c r="H14" s="25">
        <f t="shared" si="2"/>
        <v>4893</v>
      </c>
      <c r="I14" s="25" t="str">
        <f t="shared" si="3"/>
        <v>Sep</v>
      </c>
    </row>
    <row r="15" ht="15.15" spans="1:9">
      <c r="A15" s="28">
        <v>45490</v>
      </c>
      <c r="B15" s="24">
        <v>186</v>
      </c>
      <c r="C15" s="29">
        <f t="shared" si="0"/>
        <v>29</v>
      </c>
      <c r="D15" s="24" t="str">
        <f t="shared" si="1"/>
        <v>Jul</v>
      </c>
      <c r="G15" s="25">
        <v>39</v>
      </c>
      <c r="H15" s="25">
        <f t="shared" si="2"/>
        <v>3854</v>
      </c>
      <c r="I15" s="25" t="str">
        <f t="shared" si="3"/>
        <v>Sep</v>
      </c>
    </row>
    <row r="16" ht="15.15" spans="1:9">
      <c r="A16" s="28">
        <v>45491</v>
      </c>
      <c r="B16" s="24">
        <v>258</v>
      </c>
      <c r="C16" s="29">
        <f t="shared" si="0"/>
        <v>29</v>
      </c>
      <c r="D16" s="24" t="str">
        <f t="shared" si="1"/>
        <v>Jul</v>
      </c>
      <c r="G16" s="25">
        <v>40</v>
      </c>
      <c r="H16" s="25">
        <f t="shared" si="2"/>
        <v>3755</v>
      </c>
      <c r="I16" s="25" t="str">
        <f t="shared" si="3"/>
        <v>Sep</v>
      </c>
    </row>
    <row r="17" ht="15.15" spans="1:9">
      <c r="A17" s="28">
        <v>45492</v>
      </c>
      <c r="B17" s="24">
        <v>285</v>
      </c>
      <c r="C17" s="29">
        <f t="shared" si="0"/>
        <v>29</v>
      </c>
      <c r="D17" s="24" t="str">
        <f t="shared" si="1"/>
        <v>Jul</v>
      </c>
      <c r="G17" s="25">
        <v>41</v>
      </c>
      <c r="H17" s="25">
        <f t="shared" si="2"/>
        <v>2784</v>
      </c>
      <c r="I17" s="25" t="str">
        <f t="shared" si="3"/>
        <v>Oct</v>
      </c>
    </row>
    <row r="18" ht="15.15" spans="1:9">
      <c r="A18" s="28">
        <v>45495</v>
      </c>
      <c r="B18" s="24">
        <v>388</v>
      </c>
      <c r="C18" s="29">
        <f t="shared" si="0"/>
        <v>30</v>
      </c>
      <c r="D18" s="24" t="str">
        <f t="shared" si="1"/>
        <v>Jul</v>
      </c>
      <c r="G18" s="25">
        <v>42</v>
      </c>
      <c r="H18" s="25">
        <f t="shared" si="2"/>
        <v>1855</v>
      </c>
      <c r="I18" s="25" t="str">
        <f t="shared" si="3"/>
        <v>Oct</v>
      </c>
    </row>
    <row r="19" ht="15.15" spans="1:9">
      <c r="A19" s="28">
        <v>45496</v>
      </c>
      <c r="B19" s="24">
        <v>274</v>
      </c>
      <c r="C19" s="29">
        <f t="shared" si="0"/>
        <v>30</v>
      </c>
      <c r="D19" s="24" t="str">
        <f t="shared" si="1"/>
        <v>Jul</v>
      </c>
      <c r="G19" s="25">
        <v>43</v>
      </c>
      <c r="H19" s="25">
        <f t="shared" si="2"/>
        <v>1509</v>
      </c>
      <c r="I19" s="25" t="str">
        <f t="shared" si="3"/>
        <v>Oct</v>
      </c>
    </row>
    <row r="20" ht="15.15" spans="1:9">
      <c r="A20" s="28">
        <v>45497</v>
      </c>
      <c r="B20" s="24">
        <v>216</v>
      </c>
      <c r="C20" s="29">
        <f t="shared" si="0"/>
        <v>30</v>
      </c>
      <c r="D20" s="24" t="str">
        <f t="shared" si="1"/>
        <v>Jul</v>
      </c>
    </row>
    <row r="21" ht="15.15" spans="1:9">
      <c r="A21" s="28">
        <v>45498</v>
      </c>
      <c r="B21" s="24">
        <v>594</v>
      </c>
      <c r="C21" s="29">
        <f t="shared" si="0"/>
        <v>30</v>
      </c>
      <c r="D21" s="24" t="str">
        <f t="shared" si="1"/>
        <v>Jul</v>
      </c>
    </row>
    <row r="22" ht="15.15" spans="1:9">
      <c r="A22" s="28">
        <v>45499</v>
      </c>
      <c r="B22" s="24">
        <v>347</v>
      </c>
      <c r="C22" s="29">
        <f t="shared" si="0"/>
        <v>30</v>
      </c>
      <c r="D22" s="24" t="str">
        <f t="shared" si="1"/>
        <v>Jul</v>
      </c>
    </row>
    <row r="23" ht="15.15" spans="1:9">
      <c r="A23" s="28">
        <v>45502</v>
      </c>
      <c r="B23" s="24">
        <v>670</v>
      </c>
      <c r="C23" s="29">
        <f t="shared" si="0"/>
        <v>31</v>
      </c>
      <c r="D23" s="24" t="str">
        <f t="shared" si="1"/>
        <v>Jul</v>
      </c>
    </row>
    <row r="24" ht="15.15" spans="1:9">
      <c r="A24" s="28">
        <v>45503</v>
      </c>
      <c r="B24" s="24">
        <v>368</v>
      </c>
      <c r="C24" s="29">
        <f t="shared" si="0"/>
        <v>31</v>
      </c>
      <c r="D24" s="24" t="str">
        <f t="shared" si="1"/>
        <v>Jul</v>
      </c>
    </row>
    <row r="25" ht="15.15" spans="1:9">
      <c r="A25" s="28">
        <v>45504</v>
      </c>
      <c r="B25" s="24">
        <v>224</v>
      </c>
      <c r="C25" s="29">
        <f t="shared" si="0"/>
        <v>31</v>
      </c>
      <c r="D25" s="24" t="str">
        <f t="shared" si="1"/>
        <v>Jul</v>
      </c>
    </row>
    <row r="26" ht="15.15" spans="1:9">
      <c r="A26" s="28">
        <v>45505</v>
      </c>
      <c r="B26" s="24">
        <v>601</v>
      </c>
      <c r="C26" s="29">
        <f t="shared" si="0"/>
        <v>31</v>
      </c>
      <c r="D26" s="24" t="str">
        <f t="shared" si="1"/>
        <v>Aug</v>
      </c>
    </row>
    <row r="27" ht="15.15" spans="1:9">
      <c r="A27" s="28">
        <v>45506</v>
      </c>
      <c r="B27" s="24">
        <v>393</v>
      </c>
      <c r="C27" s="29">
        <f t="shared" si="0"/>
        <v>31</v>
      </c>
      <c r="D27" s="24" t="str">
        <f t="shared" si="1"/>
        <v>Aug</v>
      </c>
    </row>
    <row r="28" ht="15.15" spans="1:9">
      <c r="A28" s="28">
        <v>45509</v>
      </c>
      <c r="B28" s="24">
        <v>1047</v>
      </c>
      <c r="C28" s="29">
        <f t="shared" si="0"/>
        <v>32</v>
      </c>
      <c r="D28" s="24" t="str">
        <f t="shared" si="1"/>
        <v>Aug</v>
      </c>
    </row>
    <row r="29" ht="15.15" spans="1:9">
      <c r="A29" s="28">
        <v>45510</v>
      </c>
      <c r="B29" s="24">
        <v>473</v>
      </c>
      <c r="C29" s="29">
        <f t="shared" si="0"/>
        <v>32</v>
      </c>
      <c r="D29" s="24" t="str">
        <f t="shared" si="1"/>
        <v>Aug</v>
      </c>
    </row>
    <row r="30" ht="15.15" spans="1:9">
      <c r="A30" s="28">
        <v>45511</v>
      </c>
      <c r="B30" s="24">
        <v>196</v>
      </c>
      <c r="C30" s="29">
        <f t="shared" si="0"/>
        <v>32</v>
      </c>
      <c r="D30" s="24" t="str">
        <f t="shared" si="1"/>
        <v>Aug</v>
      </c>
    </row>
    <row r="31" ht="15.15" spans="1:9">
      <c r="A31" s="28">
        <v>45512</v>
      </c>
      <c r="B31" s="24">
        <v>983</v>
      </c>
      <c r="C31" s="29">
        <f t="shared" si="0"/>
        <v>32</v>
      </c>
      <c r="D31" s="24" t="str">
        <f t="shared" si="1"/>
        <v>Aug</v>
      </c>
    </row>
    <row r="32" ht="15.15" spans="1:9">
      <c r="A32" s="28">
        <v>45513</v>
      </c>
      <c r="B32" s="24">
        <v>549</v>
      </c>
      <c r="C32" s="29">
        <f t="shared" si="0"/>
        <v>32</v>
      </c>
      <c r="D32" s="24" t="str">
        <f t="shared" si="1"/>
        <v>Aug</v>
      </c>
    </row>
    <row r="33" ht="15.15" spans="1:4">
      <c r="A33" s="28">
        <v>45516</v>
      </c>
      <c r="B33" s="24">
        <v>1418</v>
      </c>
      <c r="C33" s="29">
        <f t="shared" si="0"/>
        <v>33</v>
      </c>
      <c r="D33" s="24" t="str">
        <f t="shared" si="1"/>
        <v>Aug</v>
      </c>
    </row>
    <row r="34" ht="15.15" spans="1:4">
      <c r="A34" s="28">
        <v>45517</v>
      </c>
      <c r="B34" s="24">
        <v>843</v>
      </c>
      <c r="C34" s="29">
        <f t="shared" si="0"/>
        <v>33</v>
      </c>
      <c r="D34" s="24" t="str">
        <f t="shared" si="1"/>
        <v>Aug</v>
      </c>
    </row>
    <row r="35" ht="15.15" spans="1:4">
      <c r="A35" s="28">
        <v>45518</v>
      </c>
      <c r="B35" s="24">
        <v>477</v>
      </c>
      <c r="C35" s="29">
        <f t="shared" si="0"/>
        <v>33</v>
      </c>
      <c r="D35" s="24" t="str">
        <f t="shared" si="1"/>
        <v>Aug</v>
      </c>
    </row>
    <row r="36" ht="15.15" spans="1:4">
      <c r="A36" s="28">
        <v>45519</v>
      </c>
      <c r="B36" s="24">
        <v>1265</v>
      </c>
      <c r="C36" s="29">
        <f t="shared" si="0"/>
        <v>33</v>
      </c>
      <c r="D36" s="24" t="str">
        <f t="shared" si="1"/>
        <v>Aug</v>
      </c>
    </row>
    <row r="37" ht="15.15" spans="1:4">
      <c r="A37" s="28">
        <v>45520</v>
      </c>
      <c r="B37" s="24">
        <v>758</v>
      </c>
      <c r="C37" s="29">
        <f t="shared" si="0"/>
        <v>33</v>
      </c>
      <c r="D37" s="24" t="str">
        <f t="shared" si="1"/>
        <v>Aug</v>
      </c>
    </row>
    <row r="38" ht="15.15" spans="1:4">
      <c r="A38" s="28">
        <v>45523</v>
      </c>
      <c r="B38" s="24">
        <v>1366</v>
      </c>
      <c r="C38" s="29">
        <f t="shared" si="0"/>
        <v>34</v>
      </c>
      <c r="D38" s="24" t="str">
        <f t="shared" si="1"/>
        <v>Aug</v>
      </c>
    </row>
    <row r="39" ht="15.15" spans="1:4">
      <c r="A39" s="28">
        <v>45524</v>
      </c>
      <c r="B39" s="24">
        <v>1057</v>
      </c>
      <c r="C39" s="29">
        <f t="shared" si="0"/>
        <v>34</v>
      </c>
      <c r="D39" s="24" t="str">
        <f t="shared" si="1"/>
        <v>Aug</v>
      </c>
    </row>
    <row r="40" ht="15.15" spans="1:4">
      <c r="A40" s="28">
        <v>45525</v>
      </c>
      <c r="B40" s="24">
        <v>441</v>
      </c>
      <c r="C40" s="29">
        <f t="shared" si="0"/>
        <v>34</v>
      </c>
      <c r="D40" s="24" t="str">
        <f t="shared" si="1"/>
        <v>Aug</v>
      </c>
    </row>
    <row r="41" ht="15.15" spans="1:4">
      <c r="A41" s="28">
        <v>45526</v>
      </c>
      <c r="B41" s="24">
        <v>1201</v>
      </c>
      <c r="C41" s="29">
        <f t="shared" si="0"/>
        <v>34</v>
      </c>
      <c r="D41" s="24" t="str">
        <f t="shared" si="1"/>
        <v>Aug</v>
      </c>
    </row>
    <row r="42" ht="15.15" spans="1:4">
      <c r="A42" s="28">
        <v>45527</v>
      </c>
      <c r="B42" s="24">
        <v>773</v>
      </c>
      <c r="C42" s="29">
        <f t="shared" si="0"/>
        <v>34</v>
      </c>
      <c r="D42" s="24" t="str">
        <f t="shared" si="1"/>
        <v>Aug</v>
      </c>
    </row>
    <row r="43" ht="15.15" spans="1:4">
      <c r="A43" s="28">
        <v>45530</v>
      </c>
      <c r="B43" s="24">
        <v>1494</v>
      </c>
      <c r="C43" s="29">
        <f t="shared" si="0"/>
        <v>35</v>
      </c>
      <c r="D43" s="24" t="str">
        <f t="shared" si="1"/>
        <v>Aug</v>
      </c>
    </row>
    <row r="44" ht="15.15" spans="1:4">
      <c r="A44" s="28">
        <v>45531</v>
      </c>
      <c r="B44" s="24">
        <v>1008</v>
      </c>
      <c r="C44" s="29">
        <f t="shared" si="0"/>
        <v>35</v>
      </c>
      <c r="D44" s="24" t="str">
        <f t="shared" si="1"/>
        <v>Aug</v>
      </c>
    </row>
    <row r="45" ht="15.15" spans="1:4">
      <c r="A45" s="28">
        <v>45532</v>
      </c>
      <c r="B45" s="24">
        <v>439</v>
      </c>
      <c r="C45" s="29">
        <f t="shared" si="0"/>
        <v>35</v>
      </c>
      <c r="D45" s="24" t="str">
        <f t="shared" si="1"/>
        <v>Aug</v>
      </c>
    </row>
    <row r="46" ht="15.15" spans="1:4">
      <c r="A46" s="28">
        <v>45533</v>
      </c>
      <c r="B46" s="24">
        <v>1189</v>
      </c>
      <c r="C46" s="29">
        <f t="shared" si="0"/>
        <v>35</v>
      </c>
      <c r="D46" s="24" t="str">
        <f t="shared" si="1"/>
        <v>Aug</v>
      </c>
    </row>
    <row r="47" ht="15.15" spans="1:4">
      <c r="A47" s="28">
        <v>45534</v>
      </c>
      <c r="B47" s="24">
        <v>718</v>
      </c>
      <c r="C47" s="29">
        <f t="shared" si="0"/>
        <v>35</v>
      </c>
      <c r="D47" s="24" t="str">
        <f t="shared" si="1"/>
        <v>Aug</v>
      </c>
    </row>
    <row r="48" ht="15.15" spans="1:4">
      <c r="A48" s="28">
        <v>45537</v>
      </c>
      <c r="B48" s="24">
        <v>1240</v>
      </c>
      <c r="C48" s="29">
        <f t="shared" si="0"/>
        <v>36</v>
      </c>
      <c r="D48" s="24" t="str">
        <f t="shared" si="1"/>
        <v>Sep</v>
      </c>
    </row>
    <row r="49" ht="15.15" spans="1:7">
      <c r="A49" s="28">
        <v>45538</v>
      </c>
      <c r="B49" s="24">
        <v>649</v>
      </c>
      <c r="C49" s="29">
        <f t="shared" si="0"/>
        <v>36</v>
      </c>
      <c r="D49" s="24" t="str">
        <f t="shared" si="1"/>
        <v>Sep</v>
      </c>
    </row>
    <row r="50" ht="15.15" spans="1:7">
      <c r="A50" s="28">
        <v>45539</v>
      </c>
      <c r="B50" s="24">
        <v>450</v>
      </c>
      <c r="C50" s="29">
        <f t="shared" si="0"/>
        <v>36</v>
      </c>
      <c r="D50" s="24" t="str">
        <f t="shared" si="1"/>
        <v>Sep</v>
      </c>
    </row>
    <row r="51" ht="15.15" spans="1:7">
      <c r="A51" s="28">
        <v>45540</v>
      </c>
      <c r="B51" s="24">
        <v>925</v>
      </c>
      <c r="C51" s="29">
        <f t="shared" si="0"/>
        <v>36</v>
      </c>
      <c r="D51" s="24" t="str">
        <f t="shared" si="1"/>
        <v>Sep</v>
      </c>
    </row>
    <row r="52" ht="15.15" spans="1:7">
      <c r="A52" s="28">
        <v>45541</v>
      </c>
      <c r="B52" s="24">
        <v>627</v>
      </c>
      <c r="C52" s="29">
        <f t="shared" si="0"/>
        <v>36</v>
      </c>
      <c r="D52" s="24" t="str">
        <f t="shared" si="1"/>
        <v>Sep</v>
      </c>
    </row>
    <row r="53" ht="15.15" spans="1:7">
      <c r="A53" s="28">
        <v>45544</v>
      </c>
      <c r="B53" s="24">
        <v>1193</v>
      </c>
      <c r="C53" s="29">
        <f t="shared" si="0"/>
        <v>37</v>
      </c>
      <c r="D53" s="24" t="str">
        <f t="shared" si="1"/>
        <v>Sep</v>
      </c>
    </row>
    <row r="54" ht="15.15" spans="1:7">
      <c r="A54" s="28">
        <v>45545</v>
      </c>
      <c r="B54" s="24">
        <v>801</v>
      </c>
      <c r="C54" s="29">
        <f t="shared" si="0"/>
        <v>37</v>
      </c>
      <c r="D54" s="24" t="str">
        <f t="shared" si="1"/>
        <v>Sep</v>
      </c>
      <c r="G54" s="1"/>
    </row>
    <row r="55" ht="15.15" spans="1:7">
      <c r="A55" s="28">
        <v>45546</v>
      </c>
      <c r="B55" s="24">
        <v>291</v>
      </c>
      <c r="C55" s="29">
        <f t="shared" si="0"/>
        <v>37</v>
      </c>
      <c r="D55" s="24" t="str">
        <f t="shared" si="1"/>
        <v>Sep</v>
      </c>
      <c r="G55" s="1"/>
    </row>
    <row r="56" ht="15.15" spans="1:7">
      <c r="A56" s="28">
        <v>45547</v>
      </c>
      <c r="B56" s="24">
        <v>840</v>
      </c>
      <c r="C56" s="29">
        <f t="shared" si="0"/>
        <v>37</v>
      </c>
      <c r="D56" s="24" t="str">
        <f t="shared" si="1"/>
        <v>Sep</v>
      </c>
      <c r="G56" s="1"/>
    </row>
    <row r="57" ht="15.15" spans="1:7">
      <c r="A57" s="28">
        <v>45548</v>
      </c>
      <c r="B57" s="24">
        <v>554</v>
      </c>
      <c r="C57" s="29">
        <f t="shared" si="0"/>
        <v>37</v>
      </c>
      <c r="D57" s="24" t="str">
        <f t="shared" si="1"/>
        <v>Sep</v>
      </c>
      <c r="G57" s="1"/>
    </row>
    <row r="58" ht="15.15" spans="1:7">
      <c r="A58" s="28">
        <v>45551</v>
      </c>
      <c r="B58" s="24">
        <v>918</v>
      </c>
      <c r="C58" s="29">
        <f t="shared" si="0"/>
        <v>38</v>
      </c>
      <c r="D58" s="24" t="str">
        <f t="shared" si="1"/>
        <v>Sep</v>
      </c>
      <c r="G58" s="1"/>
    </row>
    <row r="59" ht="15.15" spans="1:7">
      <c r="A59" s="28">
        <v>45552</v>
      </c>
      <c r="B59" s="24">
        <v>584</v>
      </c>
      <c r="C59" s="29">
        <f t="shared" si="0"/>
        <v>38</v>
      </c>
      <c r="D59" s="24" t="str">
        <f t="shared" si="1"/>
        <v>Sep</v>
      </c>
      <c r="G59" s="1"/>
    </row>
    <row r="60" ht="15.15" spans="1:7">
      <c r="A60" s="28">
        <v>45553</v>
      </c>
      <c r="B60" s="24">
        <v>127</v>
      </c>
      <c r="C60" s="29">
        <f t="shared" si="0"/>
        <v>38</v>
      </c>
      <c r="D60" s="24" t="str">
        <f t="shared" si="1"/>
        <v>Sep</v>
      </c>
      <c r="G60" s="1"/>
    </row>
    <row r="61" ht="15.15" spans="1:7">
      <c r="A61" s="28">
        <v>45554</v>
      </c>
      <c r="B61" s="24">
        <v>787</v>
      </c>
      <c r="C61" s="29">
        <f t="shared" si="0"/>
        <v>38</v>
      </c>
      <c r="D61" s="24" t="str">
        <f t="shared" si="1"/>
        <v>Sep</v>
      </c>
      <c r="G61" s="1"/>
    </row>
    <row r="62" ht="15.15" spans="1:7">
      <c r="A62" s="28">
        <v>45555</v>
      </c>
      <c r="B62" s="24">
        <v>402</v>
      </c>
      <c r="C62" s="29">
        <f t="shared" si="0"/>
        <v>38</v>
      </c>
      <c r="D62" s="24" t="str">
        <f t="shared" si="1"/>
        <v>Sep</v>
      </c>
      <c r="G62" s="1"/>
    </row>
    <row r="63" ht="15.15" spans="1:7">
      <c r="A63" s="28">
        <v>45558</v>
      </c>
      <c r="B63" s="24">
        <v>738</v>
      </c>
      <c r="C63" s="29">
        <f t="shared" si="0"/>
        <v>39</v>
      </c>
      <c r="D63" s="24" t="str">
        <f t="shared" si="1"/>
        <v>Sep</v>
      </c>
      <c r="G63" s="1"/>
    </row>
    <row r="64" ht="15.15" spans="1:7">
      <c r="A64" s="28">
        <v>45559</v>
      </c>
      <c r="B64" s="24">
        <v>419</v>
      </c>
      <c r="C64" s="29">
        <f t="shared" si="0"/>
        <v>39</v>
      </c>
      <c r="D64" s="24" t="str">
        <f t="shared" si="1"/>
        <v>Sep</v>
      </c>
      <c r="G64" s="1"/>
    </row>
    <row r="65" ht="15.15" spans="1:7">
      <c r="A65" s="28">
        <v>45560</v>
      </c>
      <c r="B65" s="24">
        <v>124</v>
      </c>
      <c r="C65" s="29">
        <f t="shared" si="0"/>
        <v>39</v>
      </c>
      <c r="D65" s="24" t="str">
        <f t="shared" si="1"/>
        <v>Sep</v>
      </c>
      <c r="G65" s="1"/>
    </row>
    <row r="66" ht="15.15" spans="1:7">
      <c r="A66" s="28">
        <v>45561</v>
      </c>
      <c r="B66" s="24">
        <v>808</v>
      </c>
      <c r="C66" s="29">
        <f t="shared" si="0"/>
        <v>39</v>
      </c>
      <c r="D66" s="24" t="str">
        <f t="shared" si="1"/>
        <v>Sep</v>
      </c>
      <c r="G66" s="1"/>
    </row>
    <row r="67" ht="15.15" spans="1:7">
      <c r="A67" s="28">
        <v>45565</v>
      </c>
      <c r="B67" s="24">
        <v>563</v>
      </c>
      <c r="C67" s="29">
        <f t="shared" si="0"/>
        <v>40</v>
      </c>
      <c r="D67" s="24" t="str">
        <f t="shared" si="1"/>
        <v>Sep</v>
      </c>
      <c r="G67" s="1"/>
    </row>
    <row r="68" ht="15.15" spans="1:7">
      <c r="A68" s="28">
        <v>45566</v>
      </c>
      <c r="B68" s="24">
        <v>680</v>
      </c>
      <c r="C68" s="29">
        <f t="shared" ref="C68:C131" si="4">WEEKNUM(A68,2)</f>
        <v>40</v>
      </c>
      <c r="D68" s="24" t="str">
        <f t="shared" ref="D68:D131" si="5">TEXT(A68,"mmm")</f>
        <v>Oct</v>
      </c>
      <c r="G68" s="1"/>
    </row>
    <row r="69" ht="15.15" spans="1:7">
      <c r="A69" s="28">
        <v>45567</v>
      </c>
      <c r="B69" s="24">
        <v>198</v>
      </c>
      <c r="C69" s="29">
        <f t="shared" si="4"/>
        <v>40</v>
      </c>
      <c r="D69" s="24" t="str">
        <f t="shared" si="5"/>
        <v>Oct</v>
      </c>
      <c r="G69" s="1"/>
    </row>
    <row r="70" ht="15.15" spans="1:7">
      <c r="A70" s="28">
        <v>45568</v>
      </c>
      <c r="B70" s="24">
        <v>554</v>
      </c>
      <c r="C70" s="29">
        <f t="shared" si="4"/>
        <v>40</v>
      </c>
      <c r="D70" s="24" t="str">
        <f t="shared" si="5"/>
        <v>Oct</v>
      </c>
      <c r="G70" s="1"/>
    </row>
    <row r="71" ht="15.15" spans="1:7">
      <c r="A71" s="28">
        <v>45569</v>
      </c>
      <c r="B71" s="24">
        <v>187</v>
      </c>
      <c r="C71" s="29">
        <f t="shared" si="4"/>
        <v>40</v>
      </c>
      <c r="D71" s="24" t="str">
        <f t="shared" si="5"/>
        <v>Oct</v>
      </c>
      <c r="G71" s="1"/>
    </row>
    <row r="72" ht="15.15" spans="1:7">
      <c r="A72" s="28">
        <v>45572</v>
      </c>
      <c r="B72" s="24">
        <v>216</v>
      </c>
      <c r="C72" s="29">
        <f t="shared" si="4"/>
        <v>41</v>
      </c>
      <c r="D72" s="24" t="str">
        <f t="shared" si="5"/>
        <v>Oct</v>
      </c>
      <c r="G72" s="1"/>
    </row>
    <row r="73" ht="15.15" spans="1:7">
      <c r="A73" s="28">
        <v>45573</v>
      </c>
      <c r="B73" s="24">
        <v>553</v>
      </c>
      <c r="C73" s="29">
        <f t="shared" si="4"/>
        <v>41</v>
      </c>
      <c r="D73" s="24" t="str">
        <f t="shared" si="5"/>
        <v>Oct</v>
      </c>
      <c r="G73" s="1"/>
    </row>
    <row r="74" ht="15.15" spans="1:7">
      <c r="A74" s="28">
        <v>45574</v>
      </c>
      <c r="B74" s="24">
        <v>110</v>
      </c>
      <c r="C74" s="29">
        <f t="shared" si="4"/>
        <v>41</v>
      </c>
      <c r="D74" s="24" t="str">
        <f t="shared" si="5"/>
        <v>Oct</v>
      </c>
      <c r="G74" s="1"/>
    </row>
    <row r="75" ht="15.15" spans="1:7">
      <c r="A75" s="28">
        <v>45575</v>
      </c>
      <c r="B75" s="24">
        <v>493</v>
      </c>
      <c r="C75" s="29">
        <f t="shared" si="4"/>
        <v>41</v>
      </c>
      <c r="D75" s="24" t="str">
        <f t="shared" si="5"/>
        <v>Oct</v>
      </c>
      <c r="G75" s="1"/>
    </row>
    <row r="76" ht="15.15" spans="1:7">
      <c r="A76" s="28">
        <v>45576</v>
      </c>
      <c r="B76" s="24">
        <v>241</v>
      </c>
      <c r="C76" s="29">
        <f t="shared" si="4"/>
        <v>41</v>
      </c>
      <c r="D76" s="24" t="str">
        <f t="shared" si="5"/>
        <v>Oct</v>
      </c>
      <c r="G76" s="1"/>
    </row>
    <row r="77" ht="15.15" spans="1:7">
      <c r="A77" s="28">
        <v>45580</v>
      </c>
      <c r="B77" s="24">
        <v>367</v>
      </c>
      <c r="C77" s="29">
        <f t="shared" si="4"/>
        <v>42</v>
      </c>
      <c r="D77" s="24" t="str">
        <f t="shared" si="5"/>
        <v>Oct</v>
      </c>
      <c r="G77" s="1"/>
    </row>
    <row r="78" ht="15.15" spans="1:7">
      <c r="A78" s="28">
        <v>45581</v>
      </c>
      <c r="B78" s="24">
        <v>65</v>
      </c>
      <c r="C78" s="29">
        <f t="shared" si="4"/>
        <v>42</v>
      </c>
      <c r="D78" s="24" t="str">
        <f t="shared" si="5"/>
        <v>Oct</v>
      </c>
      <c r="G78" s="1"/>
    </row>
    <row r="79" ht="15.15" spans="1:7">
      <c r="A79" s="28">
        <v>45582</v>
      </c>
      <c r="B79" s="24">
        <v>489</v>
      </c>
      <c r="C79" s="29">
        <f t="shared" si="4"/>
        <v>42</v>
      </c>
      <c r="D79" s="24" t="str">
        <f t="shared" si="5"/>
        <v>Oct</v>
      </c>
      <c r="G79" s="1"/>
    </row>
    <row r="80" ht="15.15" spans="1:7">
      <c r="A80" s="28">
        <v>45583</v>
      </c>
      <c r="B80" s="24">
        <v>57</v>
      </c>
      <c r="C80" s="29">
        <f t="shared" si="4"/>
        <v>42</v>
      </c>
      <c r="D80" s="24" t="str">
        <f t="shared" si="5"/>
        <v>Oct</v>
      </c>
      <c r="G80" s="1"/>
    </row>
    <row r="81" ht="15.15" spans="1:7">
      <c r="A81" s="28">
        <v>45587</v>
      </c>
      <c r="B81" s="24">
        <v>344</v>
      </c>
      <c r="C81" s="29">
        <f t="shared" si="4"/>
        <v>43</v>
      </c>
      <c r="D81" s="24" t="str">
        <f t="shared" si="5"/>
        <v>Oct</v>
      </c>
      <c r="G81" s="1"/>
    </row>
    <row r="82" ht="15.15" spans="1:7">
      <c r="A82" s="28">
        <v>45588</v>
      </c>
      <c r="B82" s="24">
        <v>76</v>
      </c>
      <c r="C82" s="29">
        <f t="shared" si="4"/>
        <v>43</v>
      </c>
      <c r="D82" s="24" t="str">
        <f t="shared" si="5"/>
        <v>Oct</v>
      </c>
      <c r="G82" s="1"/>
    </row>
    <row r="83" ht="15.15" spans="1:7">
      <c r="A83" s="28">
        <v>45589</v>
      </c>
      <c r="B83" s="24">
        <v>373</v>
      </c>
      <c r="C83" s="29">
        <f t="shared" si="4"/>
        <v>43</v>
      </c>
      <c r="D83" s="24" t="str">
        <f t="shared" si="5"/>
        <v>Oct</v>
      </c>
      <c r="G83" s="1"/>
    </row>
    <row r="84" ht="15.15" spans="1:7">
      <c r="A84" s="28">
        <v>45590</v>
      </c>
      <c r="B84" s="24">
        <v>43</v>
      </c>
      <c r="C84" s="29">
        <f t="shared" si="4"/>
        <v>43</v>
      </c>
      <c r="D84" s="24" t="str">
        <f t="shared" si="5"/>
        <v>Oct</v>
      </c>
      <c r="G84" s="1"/>
    </row>
    <row r="85" ht="15.15" spans="1:7">
      <c r="A85" s="28">
        <v>45593</v>
      </c>
      <c r="B85" s="24">
        <v>43</v>
      </c>
      <c r="C85" s="29">
        <f t="shared" si="4"/>
        <v>44</v>
      </c>
      <c r="D85" s="24" t="str">
        <f t="shared" si="5"/>
        <v>Oct</v>
      </c>
      <c r="G85" s="1"/>
    </row>
    <row r="86" ht="15.15" spans="1:7">
      <c r="A86" s="28">
        <v>45594</v>
      </c>
      <c r="B86" s="24">
        <v>231</v>
      </c>
      <c r="C86" s="29">
        <f t="shared" si="4"/>
        <v>44</v>
      </c>
      <c r="D86" s="24" t="str">
        <f t="shared" si="5"/>
        <v>Oct</v>
      </c>
      <c r="G86" s="1"/>
    </row>
    <row r="87" ht="15.15" spans="1:7">
      <c r="A87" s="28">
        <v>45595</v>
      </c>
      <c r="B87" s="24">
        <v>62</v>
      </c>
      <c r="C87" s="29">
        <f t="shared" si="4"/>
        <v>44</v>
      </c>
      <c r="D87" s="24" t="str">
        <f t="shared" si="5"/>
        <v>Oct</v>
      </c>
      <c r="G87" s="1"/>
    </row>
    <row r="88" ht="15.15" spans="1:7">
      <c r="A88" s="28">
        <v>45596</v>
      </c>
      <c r="B88" s="24">
        <v>221</v>
      </c>
      <c r="C88" s="29">
        <f t="shared" si="4"/>
        <v>44</v>
      </c>
      <c r="D88" s="24" t="str">
        <f t="shared" si="5"/>
        <v>Oct</v>
      </c>
      <c r="G88" s="1"/>
    </row>
    <row r="89" ht="15.15" spans="1:7">
      <c r="A89" s="28">
        <v>45597</v>
      </c>
      <c r="B89" s="24">
        <v>22</v>
      </c>
      <c r="C89" s="29">
        <f t="shared" si="4"/>
        <v>44</v>
      </c>
      <c r="D89" s="24" t="str">
        <f t="shared" si="5"/>
        <v>Nov</v>
      </c>
      <c r="G89" s="1"/>
    </row>
    <row r="90" ht="15.15" spans="1:7">
      <c r="A90" s="28">
        <v>45602</v>
      </c>
      <c r="B90" s="24">
        <v>126</v>
      </c>
      <c r="C90" s="29">
        <f t="shared" si="4"/>
        <v>45</v>
      </c>
      <c r="D90" s="24" t="str">
        <f t="shared" si="5"/>
        <v>Nov</v>
      </c>
      <c r="G90" s="1"/>
    </row>
    <row r="91" ht="15.15" spans="1:7">
      <c r="A91" s="28">
        <v>45603</v>
      </c>
      <c r="B91" s="24">
        <v>219</v>
      </c>
      <c r="C91" s="29">
        <f t="shared" si="4"/>
        <v>45</v>
      </c>
      <c r="D91" s="24" t="str">
        <f t="shared" si="5"/>
        <v>Nov</v>
      </c>
      <c r="G91" s="1"/>
    </row>
    <row r="92" ht="15.15" spans="1:7">
      <c r="A92" s="28">
        <v>45604</v>
      </c>
      <c r="B92" s="24">
        <v>23</v>
      </c>
      <c r="C92" s="29">
        <f t="shared" si="4"/>
        <v>45</v>
      </c>
      <c r="D92" s="24" t="str">
        <f t="shared" si="5"/>
        <v>Nov</v>
      </c>
      <c r="G92" s="1"/>
    </row>
    <row r="93" ht="15.15" spans="1:7">
      <c r="A93" s="28">
        <v>45608</v>
      </c>
      <c r="B93" s="24">
        <v>118</v>
      </c>
      <c r="C93" s="29">
        <f t="shared" si="4"/>
        <v>46</v>
      </c>
      <c r="D93" s="24" t="str">
        <f t="shared" si="5"/>
        <v>Nov</v>
      </c>
      <c r="G93" s="1"/>
    </row>
    <row r="94" ht="15.15" spans="1:7">
      <c r="A94" s="28">
        <v>45609</v>
      </c>
      <c r="B94" s="24">
        <v>47</v>
      </c>
      <c r="C94" s="29">
        <f t="shared" si="4"/>
        <v>46</v>
      </c>
      <c r="D94" s="24" t="str">
        <f t="shared" si="5"/>
        <v>Nov</v>
      </c>
      <c r="G94" s="1"/>
    </row>
    <row r="95" ht="15.15" spans="1:7">
      <c r="A95" s="28">
        <v>45610</v>
      </c>
      <c r="B95" s="24">
        <v>234</v>
      </c>
      <c r="C95" s="29">
        <f t="shared" si="4"/>
        <v>46</v>
      </c>
      <c r="D95" s="24" t="str">
        <f t="shared" si="5"/>
        <v>Nov</v>
      </c>
      <c r="G95" s="1"/>
    </row>
    <row r="96" ht="15.15" spans="1:7">
      <c r="A96" s="28">
        <v>45614</v>
      </c>
      <c r="B96" s="24">
        <v>48</v>
      </c>
      <c r="C96" s="29">
        <f t="shared" si="4"/>
        <v>47</v>
      </c>
      <c r="D96" s="24" t="str">
        <f t="shared" si="5"/>
        <v>Nov</v>
      </c>
      <c r="G96" s="1"/>
    </row>
    <row r="97" ht="15.15" spans="1:7">
      <c r="A97" s="28">
        <v>45615</v>
      </c>
      <c r="B97" s="24">
        <v>69</v>
      </c>
      <c r="C97" s="29">
        <f t="shared" si="4"/>
        <v>47</v>
      </c>
      <c r="D97" s="24" t="str">
        <f t="shared" si="5"/>
        <v>Nov</v>
      </c>
      <c r="G97" s="1"/>
    </row>
    <row r="98" ht="15.15" spans="1:7">
      <c r="A98" s="28">
        <v>45616</v>
      </c>
      <c r="B98" s="24">
        <v>34</v>
      </c>
      <c r="C98" s="29">
        <f t="shared" si="4"/>
        <v>47</v>
      </c>
      <c r="D98" s="24" t="str">
        <f t="shared" si="5"/>
        <v>Nov</v>
      </c>
      <c r="G98" s="1"/>
    </row>
    <row r="99" ht="15.15" spans="1:7">
      <c r="A99" s="28">
        <v>45617</v>
      </c>
      <c r="B99" s="24">
        <v>134</v>
      </c>
      <c r="C99" s="29">
        <f t="shared" si="4"/>
        <v>47</v>
      </c>
      <c r="D99" s="24" t="str">
        <f t="shared" si="5"/>
        <v>Nov</v>
      </c>
      <c r="G99" s="1"/>
    </row>
    <row r="100" ht="15.15" spans="1:7">
      <c r="A100" s="28">
        <v>45622</v>
      </c>
      <c r="B100" s="24">
        <v>83</v>
      </c>
      <c r="C100" s="29">
        <f t="shared" si="4"/>
        <v>48</v>
      </c>
      <c r="D100" s="24" t="str">
        <f t="shared" si="5"/>
        <v>Nov</v>
      </c>
      <c r="G100" s="1"/>
    </row>
    <row r="101" ht="15.15" spans="1:7">
      <c r="A101" s="28">
        <v>45623</v>
      </c>
      <c r="B101" s="24">
        <v>36</v>
      </c>
      <c r="C101" s="29">
        <f t="shared" si="4"/>
        <v>48</v>
      </c>
      <c r="D101" s="24" t="str">
        <f t="shared" si="5"/>
        <v>Nov</v>
      </c>
      <c r="G101" s="1"/>
    </row>
    <row r="102" ht="15.15" spans="1:7">
      <c r="A102" s="28">
        <v>45624</v>
      </c>
      <c r="B102" s="24">
        <v>72</v>
      </c>
      <c r="C102" s="29">
        <f t="shared" si="4"/>
        <v>48</v>
      </c>
      <c r="D102" s="24" t="str">
        <f t="shared" si="5"/>
        <v>Nov</v>
      </c>
      <c r="G102" s="1"/>
    </row>
    <row r="103" ht="15.15" spans="1:7">
      <c r="A103" s="28">
        <v>45625</v>
      </c>
      <c r="B103" s="24">
        <v>25</v>
      </c>
      <c r="C103" s="29">
        <f t="shared" si="4"/>
        <v>48</v>
      </c>
      <c r="D103" s="24" t="str">
        <f t="shared" si="5"/>
        <v>Nov</v>
      </c>
      <c r="G103" s="1"/>
    </row>
    <row r="104" ht="15.15" spans="1:7">
      <c r="A104" s="28">
        <v>45629</v>
      </c>
      <c r="B104" s="24">
        <v>54</v>
      </c>
      <c r="C104" s="29">
        <f t="shared" si="4"/>
        <v>49</v>
      </c>
      <c r="D104" s="24" t="str">
        <f t="shared" si="5"/>
        <v>Dec</v>
      </c>
      <c r="G104" s="1"/>
    </row>
    <row r="105" ht="15.15" spans="1:7">
      <c r="A105" s="28">
        <v>45630</v>
      </c>
      <c r="B105" s="24">
        <v>22</v>
      </c>
      <c r="C105" s="29">
        <f t="shared" si="4"/>
        <v>49</v>
      </c>
      <c r="D105" s="24" t="str">
        <f t="shared" si="5"/>
        <v>Dec</v>
      </c>
      <c r="G105" s="1"/>
    </row>
    <row r="106" ht="15.15" spans="1:7">
      <c r="A106" s="28">
        <v>45631</v>
      </c>
      <c r="B106" s="24">
        <v>38</v>
      </c>
      <c r="C106" s="29">
        <f t="shared" si="4"/>
        <v>49</v>
      </c>
      <c r="D106" s="24" t="str">
        <f t="shared" si="5"/>
        <v>Dec</v>
      </c>
      <c r="G106" s="1"/>
    </row>
    <row r="107" ht="15.15" spans="1:7">
      <c r="A107" s="28">
        <v>45636</v>
      </c>
      <c r="B107" s="24">
        <v>92</v>
      </c>
      <c r="C107" s="29">
        <f t="shared" si="4"/>
        <v>50</v>
      </c>
      <c r="D107" s="24" t="str">
        <f t="shared" si="5"/>
        <v>Dec</v>
      </c>
      <c r="G107" s="1"/>
    </row>
    <row r="108" ht="15.15" spans="1:7">
      <c r="A108" s="28">
        <v>45637</v>
      </c>
      <c r="B108" s="24">
        <v>30</v>
      </c>
      <c r="C108" s="29">
        <f t="shared" si="4"/>
        <v>50</v>
      </c>
      <c r="D108" s="24" t="str">
        <f t="shared" si="5"/>
        <v>Dec</v>
      </c>
      <c r="G108" s="1"/>
    </row>
    <row r="109" ht="15.15" spans="1:7">
      <c r="A109" s="28">
        <v>45638</v>
      </c>
      <c r="B109" s="24">
        <v>117</v>
      </c>
      <c r="C109" s="29">
        <f t="shared" si="4"/>
        <v>50</v>
      </c>
      <c r="D109" s="24" t="str">
        <f t="shared" si="5"/>
        <v>Dec</v>
      </c>
      <c r="G109" s="1"/>
    </row>
    <row r="110" ht="15.15" spans="1:7">
      <c r="A110" s="28">
        <v>45643</v>
      </c>
      <c r="B110" s="24">
        <v>12</v>
      </c>
      <c r="C110" s="29">
        <f t="shared" si="4"/>
        <v>51</v>
      </c>
      <c r="D110" s="24" t="str">
        <f t="shared" si="5"/>
        <v>Dec</v>
      </c>
      <c r="G110" s="1"/>
    </row>
    <row r="111" ht="15.15" spans="1:7">
      <c r="A111" s="28">
        <v>45644</v>
      </c>
      <c r="B111" s="24">
        <v>7</v>
      </c>
      <c r="C111" s="29">
        <f t="shared" si="4"/>
        <v>51</v>
      </c>
      <c r="D111" s="24" t="str">
        <f t="shared" si="5"/>
        <v>Dec</v>
      </c>
      <c r="G111" s="1"/>
    </row>
    <row r="112" ht="15.15" spans="1:7">
      <c r="A112" s="28">
        <v>45645</v>
      </c>
      <c r="B112" s="24">
        <v>45</v>
      </c>
      <c r="C112" s="29">
        <f t="shared" si="4"/>
        <v>51</v>
      </c>
      <c r="D112" s="24" t="str">
        <f t="shared" si="5"/>
        <v>Dec</v>
      </c>
      <c r="G112" s="1"/>
    </row>
    <row r="113" ht="15.15" spans="1:7">
      <c r="A113" s="28">
        <v>45671</v>
      </c>
      <c r="B113" s="24">
        <v>31</v>
      </c>
      <c r="C113" s="29">
        <f t="shared" si="4"/>
        <v>3</v>
      </c>
      <c r="D113" s="24" t="str">
        <f t="shared" si="5"/>
        <v>Jan</v>
      </c>
      <c r="G113" s="1"/>
    </row>
    <row r="114" ht="15.15" spans="1:7">
      <c r="A114" s="28">
        <v>45672</v>
      </c>
      <c r="B114" s="24">
        <v>17</v>
      </c>
      <c r="C114" s="29">
        <f t="shared" si="4"/>
        <v>3</v>
      </c>
      <c r="D114" s="24" t="str">
        <f t="shared" si="5"/>
        <v>Jan</v>
      </c>
      <c r="G114" s="1"/>
    </row>
    <row r="115" ht="15.15" spans="1:7">
      <c r="A115" s="28">
        <v>45673</v>
      </c>
      <c r="B115" s="24">
        <v>28</v>
      </c>
      <c r="C115" s="29">
        <f t="shared" si="4"/>
        <v>3</v>
      </c>
      <c r="D115" s="24" t="str">
        <f t="shared" si="5"/>
        <v>Jan</v>
      </c>
      <c r="G115" s="1"/>
    </row>
    <row r="116" ht="15.15" spans="1:7">
      <c r="A116" s="28">
        <v>45678</v>
      </c>
      <c r="B116" s="24">
        <v>46</v>
      </c>
      <c r="C116" s="29">
        <f t="shared" si="4"/>
        <v>4</v>
      </c>
      <c r="D116" s="24" t="str">
        <f t="shared" si="5"/>
        <v>Jan</v>
      </c>
      <c r="G116" s="1"/>
    </row>
    <row r="117" ht="15.15" spans="1:7">
      <c r="A117" s="28">
        <v>45680</v>
      </c>
      <c r="B117" s="24">
        <v>19</v>
      </c>
      <c r="C117" s="29">
        <f t="shared" si="4"/>
        <v>4</v>
      </c>
      <c r="D117" s="24" t="str">
        <f t="shared" si="5"/>
        <v>Jan</v>
      </c>
      <c r="G117" s="1"/>
    </row>
    <row r="118" ht="15.15" spans="1:7">
      <c r="A118" s="28">
        <v>45686</v>
      </c>
      <c r="B118" s="24">
        <v>37</v>
      </c>
      <c r="C118" s="29">
        <f t="shared" si="4"/>
        <v>5</v>
      </c>
      <c r="D118" s="24" t="str">
        <f t="shared" si="5"/>
        <v>Jan</v>
      </c>
      <c r="G118" s="1"/>
    </row>
    <row r="119" ht="15.15" spans="1:7">
      <c r="A119" s="28">
        <v>45688</v>
      </c>
      <c r="B119" s="24">
        <v>72</v>
      </c>
      <c r="C119" s="29">
        <f t="shared" si="4"/>
        <v>5</v>
      </c>
      <c r="D119" s="24" t="str">
        <f t="shared" si="5"/>
        <v>Jan</v>
      </c>
      <c r="G119" s="1"/>
    </row>
    <row r="120" ht="15.15" spans="1:7">
      <c r="A120" s="28">
        <v>45692</v>
      </c>
      <c r="B120" s="24">
        <v>66</v>
      </c>
      <c r="C120" s="29">
        <f t="shared" si="4"/>
        <v>6</v>
      </c>
      <c r="D120" s="24" t="str">
        <f t="shared" si="5"/>
        <v>Feb</v>
      </c>
      <c r="G120" s="1"/>
    </row>
    <row r="121" ht="15.15" spans="1:7">
      <c r="A121" s="28">
        <v>45694</v>
      </c>
      <c r="B121" s="24">
        <v>57</v>
      </c>
      <c r="C121" s="29">
        <f t="shared" si="4"/>
        <v>6</v>
      </c>
      <c r="D121" s="24" t="str">
        <f t="shared" si="5"/>
        <v>Feb</v>
      </c>
      <c r="G121" s="1"/>
    </row>
    <row r="122" ht="15.15" spans="1:7">
      <c r="A122" s="28">
        <v>45698</v>
      </c>
      <c r="B122" s="24">
        <v>43</v>
      </c>
      <c r="C122" s="29">
        <f t="shared" si="4"/>
        <v>7</v>
      </c>
      <c r="D122" s="24" t="str">
        <f t="shared" si="5"/>
        <v>Feb</v>
      </c>
      <c r="G122" s="1"/>
    </row>
    <row r="123" ht="15.15" spans="1:7">
      <c r="A123" s="28">
        <v>45699</v>
      </c>
      <c r="B123" s="24">
        <v>117</v>
      </c>
      <c r="C123" s="29">
        <f t="shared" si="4"/>
        <v>7</v>
      </c>
      <c r="D123" s="24" t="str">
        <f t="shared" si="5"/>
        <v>Feb</v>
      </c>
      <c r="G123" s="1"/>
    </row>
    <row r="124" ht="15.15" spans="1:7">
      <c r="A124" s="28">
        <v>45700</v>
      </c>
      <c r="B124" s="24">
        <v>22</v>
      </c>
      <c r="C124" s="29">
        <f t="shared" si="4"/>
        <v>7</v>
      </c>
      <c r="D124" s="24" t="str">
        <f t="shared" si="5"/>
        <v>Feb</v>
      </c>
      <c r="G124" s="1"/>
    </row>
    <row r="125" ht="15.15" spans="1:7">
      <c r="A125" s="28">
        <v>45701</v>
      </c>
      <c r="B125" s="24">
        <v>140</v>
      </c>
      <c r="C125" s="29">
        <f t="shared" si="4"/>
        <v>7</v>
      </c>
      <c r="D125" s="24" t="str">
        <f t="shared" si="5"/>
        <v>Feb</v>
      </c>
      <c r="G125" s="1"/>
    </row>
    <row r="126" ht="15.15" spans="1:7">
      <c r="A126" s="28">
        <v>45702</v>
      </c>
      <c r="B126" s="24">
        <v>43</v>
      </c>
      <c r="C126" s="29">
        <f t="shared" si="4"/>
        <v>7</v>
      </c>
      <c r="D126" s="24" t="str">
        <f t="shared" si="5"/>
        <v>Feb</v>
      </c>
      <c r="G126" s="1"/>
    </row>
    <row r="127" ht="15.15" spans="1:7">
      <c r="A127" s="28">
        <v>45706</v>
      </c>
      <c r="B127" s="24">
        <v>168</v>
      </c>
      <c r="C127" s="29">
        <f t="shared" si="4"/>
        <v>8</v>
      </c>
      <c r="D127" s="24" t="str">
        <f t="shared" si="5"/>
        <v>Feb</v>
      </c>
      <c r="G127" s="1"/>
    </row>
    <row r="128" ht="15.15" spans="1:7">
      <c r="A128" s="28">
        <v>45708</v>
      </c>
      <c r="B128" s="24">
        <v>276</v>
      </c>
      <c r="C128" s="29">
        <f t="shared" si="4"/>
        <v>8</v>
      </c>
      <c r="D128" s="24" t="str">
        <f t="shared" si="5"/>
        <v>Feb</v>
      </c>
      <c r="G128" s="1"/>
    </row>
    <row r="129" ht="15.15" spans="1:7">
      <c r="A129" s="28">
        <v>45709</v>
      </c>
      <c r="B129" s="24">
        <v>30</v>
      </c>
      <c r="C129" s="29">
        <f t="shared" si="4"/>
        <v>8</v>
      </c>
      <c r="D129" s="24" t="str">
        <f t="shared" si="5"/>
        <v>Feb</v>
      </c>
      <c r="G129" s="1"/>
    </row>
    <row r="130" ht="15.15" spans="1:7">
      <c r="A130" s="28">
        <v>45712</v>
      </c>
      <c r="B130" s="24">
        <v>123</v>
      </c>
      <c r="C130" s="29">
        <f t="shared" si="4"/>
        <v>9</v>
      </c>
      <c r="D130" s="24" t="str">
        <f t="shared" si="5"/>
        <v>Feb</v>
      </c>
      <c r="G130" s="1"/>
    </row>
    <row r="131" ht="15.15" spans="1:7">
      <c r="A131" s="28">
        <v>45713</v>
      </c>
      <c r="B131" s="24">
        <v>199</v>
      </c>
      <c r="C131" s="29">
        <f t="shared" si="4"/>
        <v>9</v>
      </c>
      <c r="D131" s="24" t="str">
        <f t="shared" si="5"/>
        <v>Feb</v>
      </c>
      <c r="G131" s="1"/>
    </row>
    <row r="132" ht="15.15" spans="1:7">
      <c r="A132" s="28">
        <v>45714</v>
      </c>
      <c r="B132" s="24">
        <v>46</v>
      </c>
      <c r="C132" s="29">
        <f t="shared" ref="C132:C195" si="6">WEEKNUM(A132,2)</f>
        <v>9</v>
      </c>
      <c r="D132" s="24" t="str">
        <f t="shared" ref="D132:D195" si="7">TEXT(A132,"mmm")</f>
        <v>Feb</v>
      </c>
      <c r="G132" s="1"/>
    </row>
    <row r="133" ht="15.15" spans="1:7">
      <c r="A133" s="28">
        <v>45715</v>
      </c>
      <c r="B133" s="24">
        <v>303</v>
      </c>
      <c r="C133" s="29">
        <f t="shared" si="6"/>
        <v>9</v>
      </c>
      <c r="D133" s="24" t="str">
        <f t="shared" si="7"/>
        <v>Feb</v>
      </c>
      <c r="G133" s="1"/>
    </row>
    <row r="134" ht="15.15" spans="1:7">
      <c r="A134" s="28">
        <v>45716</v>
      </c>
      <c r="B134" s="24">
        <v>30</v>
      </c>
      <c r="C134" s="29">
        <f t="shared" si="6"/>
        <v>9</v>
      </c>
      <c r="D134" s="24" t="str">
        <f t="shared" si="7"/>
        <v>Feb</v>
      </c>
      <c r="G134" s="1"/>
    </row>
    <row r="135" ht="15.15" spans="1:7">
      <c r="A135" s="28">
        <v>45719</v>
      </c>
      <c r="B135" s="24">
        <v>298</v>
      </c>
      <c r="C135" s="29">
        <f t="shared" si="6"/>
        <v>10</v>
      </c>
      <c r="D135" s="24" t="str">
        <f t="shared" si="7"/>
        <v>Mar</v>
      </c>
      <c r="G135" s="1"/>
    </row>
    <row r="136" ht="15.15" spans="1:7">
      <c r="A136" s="28">
        <v>45720</v>
      </c>
      <c r="B136" s="24">
        <v>55</v>
      </c>
      <c r="C136" s="29">
        <f t="shared" si="6"/>
        <v>10</v>
      </c>
      <c r="D136" s="24" t="str">
        <f t="shared" si="7"/>
        <v>Mar</v>
      </c>
      <c r="G136" s="1"/>
    </row>
    <row r="137" ht="15.15" spans="1:7">
      <c r="A137" s="28">
        <v>45721</v>
      </c>
      <c r="B137" s="24">
        <v>101</v>
      </c>
      <c r="C137" s="29">
        <f t="shared" si="6"/>
        <v>10</v>
      </c>
      <c r="D137" s="24" t="str">
        <f t="shared" si="7"/>
        <v>Mar</v>
      </c>
      <c r="G137" s="1"/>
    </row>
    <row r="138" ht="15.15" spans="1:7">
      <c r="A138" s="28">
        <v>45722</v>
      </c>
      <c r="B138" s="24">
        <v>520</v>
      </c>
      <c r="C138" s="29">
        <f t="shared" si="6"/>
        <v>10</v>
      </c>
      <c r="D138" s="24" t="str">
        <f t="shared" si="7"/>
        <v>Mar</v>
      </c>
      <c r="G138" s="1"/>
    </row>
    <row r="139" ht="15.15" spans="1:7">
      <c r="A139" s="28">
        <v>45723</v>
      </c>
      <c r="B139" s="24">
        <v>91</v>
      </c>
      <c r="C139" s="29">
        <f t="shared" si="6"/>
        <v>10</v>
      </c>
      <c r="D139" s="24" t="str">
        <f t="shared" si="7"/>
        <v>Mar</v>
      </c>
      <c r="G139" s="1"/>
    </row>
    <row r="140" ht="15.15" spans="1:7">
      <c r="A140" s="28">
        <v>45727</v>
      </c>
      <c r="B140" s="24">
        <v>440</v>
      </c>
      <c r="C140" s="29">
        <f t="shared" si="6"/>
        <v>11</v>
      </c>
      <c r="D140" s="24" t="str">
        <f t="shared" si="7"/>
        <v>Mar</v>
      </c>
      <c r="G140" s="1"/>
    </row>
    <row r="141" ht="15.15" spans="1:7">
      <c r="A141" s="28">
        <v>45728</v>
      </c>
      <c r="B141" s="24">
        <v>107</v>
      </c>
      <c r="C141" s="29">
        <f t="shared" si="6"/>
        <v>11</v>
      </c>
      <c r="D141" s="24" t="str">
        <f t="shared" si="7"/>
        <v>Mar</v>
      </c>
      <c r="G141" s="1"/>
    </row>
    <row r="142" ht="15.15" spans="1:7">
      <c r="A142" s="28">
        <v>45729</v>
      </c>
      <c r="B142" s="24">
        <v>655</v>
      </c>
      <c r="C142" s="29">
        <f t="shared" si="6"/>
        <v>11</v>
      </c>
      <c r="D142" s="24" t="str">
        <f t="shared" si="7"/>
        <v>Mar</v>
      </c>
      <c r="G142" s="1"/>
    </row>
    <row r="143" ht="15.15" spans="1:7">
      <c r="A143" s="28">
        <v>45730</v>
      </c>
      <c r="B143" s="24">
        <v>189</v>
      </c>
      <c r="C143" s="29">
        <f t="shared" si="6"/>
        <v>11</v>
      </c>
      <c r="D143" s="24" t="str">
        <f t="shared" si="7"/>
        <v>Mar</v>
      </c>
      <c r="G143" s="1"/>
    </row>
    <row r="144" ht="15.15" spans="1:7">
      <c r="A144" s="28">
        <v>45733</v>
      </c>
      <c r="B144" s="24">
        <v>523</v>
      </c>
      <c r="C144" s="29">
        <f t="shared" si="6"/>
        <v>12</v>
      </c>
      <c r="D144" s="24" t="str">
        <f t="shared" si="7"/>
        <v>Mar</v>
      </c>
      <c r="G144" s="1"/>
    </row>
    <row r="145" ht="15.15" spans="1:7">
      <c r="A145" s="28">
        <v>45734</v>
      </c>
      <c r="B145" s="24">
        <v>133</v>
      </c>
      <c r="C145" s="29">
        <f t="shared" si="6"/>
        <v>12</v>
      </c>
      <c r="D145" s="24" t="str">
        <f t="shared" si="7"/>
        <v>Mar</v>
      </c>
      <c r="G145" s="1"/>
    </row>
    <row r="146" ht="15.15" spans="1:7">
      <c r="A146" s="28">
        <v>45735</v>
      </c>
      <c r="B146" s="24">
        <v>138</v>
      </c>
      <c r="C146" s="29">
        <f t="shared" si="6"/>
        <v>12</v>
      </c>
      <c r="D146" s="24" t="str">
        <f t="shared" si="7"/>
        <v>Mar</v>
      </c>
      <c r="G146" s="1"/>
    </row>
    <row r="147" ht="15.15" spans="1:7">
      <c r="A147" s="28">
        <v>45736</v>
      </c>
      <c r="B147" s="24">
        <v>583</v>
      </c>
      <c r="C147" s="29">
        <f t="shared" si="6"/>
        <v>12</v>
      </c>
      <c r="D147" s="24" t="str">
        <f t="shared" si="7"/>
        <v>Mar</v>
      </c>
      <c r="G147" s="1"/>
    </row>
    <row r="148" ht="15.15" spans="1:7">
      <c r="A148" s="28">
        <v>45737</v>
      </c>
      <c r="B148" s="24">
        <v>155</v>
      </c>
      <c r="C148" s="29">
        <f t="shared" si="6"/>
        <v>12</v>
      </c>
      <c r="D148" s="24" t="str">
        <f t="shared" si="7"/>
        <v>Mar</v>
      </c>
      <c r="G148" s="1"/>
    </row>
    <row r="149" ht="15.15" spans="1:7">
      <c r="A149" s="28">
        <v>45740</v>
      </c>
      <c r="B149" s="24">
        <v>463</v>
      </c>
      <c r="C149" s="29">
        <f t="shared" si="6"/>
        <v>13</v>
      </c>
      <c r="D149" s="24" t="str">
        <f t="shared" si="7"/>
        <v>Mar</v>
      </c>
      <c r="G149" s="1"/>
    </row>
    <row r="150" ht="15.15" spans="1:7">
      <c r="A150" s="28">
        <v>45741</v>
      </c>
      <c r="B150" s="24">
        <v>181</v>
      </c>
      <c r="C150" s="29">
        <f t="shared" si="6"/>
        <v>13</v>
      </c>
      <c r="D150" s="24" t="str">
        <f t="shared" si="7"/>
        <v>Mar</v>
      </c>
      <c r="G150" s="1"/>
    </row>
    <row r="151" ht="15.15" spans="1:7">
      <c r="A151" s="28">
        <v>45742</v>
      </c>
      <c r="B151" s="24">
        <v>103</v>
      </c>
      <c r="C151" s="29">
        <f t="shared" si="6"/>
        <v>13</v>
      </c>
      <c r="D151" s="24" t="str">
        <f t="shared" si="7"/>
        <v>Mar</v>
      </c>
      <c r="G151" s="1"/>
    </row>
    <row r="152" ht="15.15" spans="1:7">
      <c r="A152" s="28">
        <v>45743</v>
      </c>
      <c r="B152" s="24">
        <v>565</v>
      </c>
      <c r="C152" s="29">
        <f t="shared" si="6"/>
        <v>13</v>
      </c>
      <c r="D152" s="24" t="str">
        <f t="shared" si="7"/>
        <v>Mar</v>
      </c>
      <c r="G152" s="1"/>
    </row>
    <row r="153" ht="15.15" spans="1:7">
      <c r="A153" s="28">
        <v>45744</v>
      </c>
      <c r="B153" s="24">
        <v>175</v>
      </c>
      <c r="C153" s="29">
        <f t="shared" si="6"/>
        <v>13</v>
      </c>
      <c r="D153" s="24" t="str">
        <f t="shared" si="7"/>
        <v>Mar</v>
      </c>
      <c r="G153" s="1"/>
    </row>
    <row r="154" ht="15.15" spans="1:7">
      <c r="A154" s="28">
        <v>45747</v>
      </c>
      <c r="B154" s="24">
        <v>470</v>
      </c>
      <c r="C154" s="29">
        <f t="shared" si="6"/>
        <v>14</v>
      </c>
      <c r="D154" s="24" t="str">
        <f t="shared" si="7"/>
        <v>Mar</v>
      </c>
      <c r="G154" s="1"/>
    </row>
    <row r="155" ht="15.15" spans="1:7">
      <c r="A155" s="28">
        <v>45748</v>
      </c>
      <c r="B155" s="24">
        <v>190</v>
      </c>
      <c r="C155" s="29">
        <f t="shared" si="6"/>
        <v>14</v>
      </c>
      <c r="D155" s="24" t="str">
        <f t="shared" si="7"/>
        <v>Apr</v>
      </c>
      <c r="G155" s="1"/>
    </row>
    <row r="156" ht="15.15" spans="1:7">
      <c r="A156" s="28">
        <v>45749</v>
      </c>
      <c r="B156" s="24">
        <v>113</v>
      </c>
      <c r="C156" s="29">
        <f t="shared" si="6"/>
        <v>14</v>
      </c>
      <c r="D156" s="24" t="str">
        <f t="shared" si="7"/>
        <v>Apr</v>
      </c>
      <c r="G156" s="1"/>
    </row>
    <row r="157" ht="15.15" spans="1:7">
      <c r="A157" s="28">
        <v>45750</v>
      </c>
      <c r="B157" s="24">
        <v>507</v>
      </c>
      <c r="C157" s="29">
        <f t="shared" si="6"/>
        <v>14</v>
      </c>
      <c r="D157" s="24" t="str">
        <f t="shared" si="7"/>
        <v>Apr</v>
      </c>
      <c r="G157" s="1"/>
    </row>
    <row r="158" ht="15.15" spans="1:7">
      <c r="A158" s="28">
        <v>45751</v>
      </c>
      <c r="B158" s="24">
        <v>136</v>
      </c>
      <c r="C158" s="29">
        <f t="shared" si="6"/>
        <v>14</v>
      </c>
      <c r="D158" s="24" t="str">
        <f t="shared" si="7"/>
        <v>Apr</v>
      </c>
      <c r="G158" s="1"/>
    </row>
    <row r="159" ht="15.15" spans="1:7">
      <c r="A159" s="28">
        <v>45754</v>
      </c>
      <c r="B159" s="24">
        <v>306</v>
      </c>
      <c r="C159" s="29">
        <f t="shared" si="6"/>
        <v>15</v>
      </c>
      <c r="D159" s="24" t="str">
        <f t="shared" si="7"/>
        <v>Apr</v>
      </c>
      <c r="G159" s="1"/>
    </row>
    <row r="160" ht="15.15" spans="1:7">
      <c r="A160" s="28">
        <v>45755</v>
      </c>
      <c r="B160" s="24">
        <v>311</v>
      </c>
      <c r="C160" s="29">
        <f t="shared" si="6"/>
        <v>15</v>
      </c>
      <c r="D160" s="24" t="str">
        <f t="shared" si="7"/>
        <v>Apr</v>
      </c>
      <c r="G160" s="1"/>
    </row>
    <row r="161" ht="15.15" spans="1:7">
      <c r="A161" s="28">
        <v>45756</v>
      </c>
      <c r="B161" s="24">
        <v>95</v>
      </c>
      <c r="C161" s="29">
        <f t="shared" si="6"/>
        <v>15</v>
      </c>
      <c r="D161" s="24" t="str">
        <f t="shared" si="7"/>
        <v>Apr</v>
      </c>
      <c r="G161" s="1"/>
    </row>
    <row r="162" ht="15.15" spans="1:7">
      <c r="A162" s="28">
        <v>45757</v>
      </c>
      <c r="B162" s="24">
        <v>371</v>
      </c>
      <c r="C162" s="29">
        <f t="shared" si="6"/>
        <v>15</v>
      </c>
      <c r="D162" s="24" t="str">
        <f t="shared" si="7"/>
        <v>Apr</v>
      </c>
      <c r="G162" s="1"/>
    </row>
    <row r="163" ht="15.15" spans="1:7">
      <c r="A163" s="28">
        <v>45758</v>
      </c>
      <c r="B163" s="24">
        <v>107</v>
      </c>
      <c r="C163" s="29">
        <f t="shared" si="6"/>
        <v>15</v>
      </c>
      <c r="D163" s="24" t="str">
        <f t="shared" si="7"/>
        <v>Apr</v>
      </c>
      <c r="G163" s="1"/>
    </row>
    <row r="164" ht="15.15" spans="1:7">
      <c r="A164" s="28">
        <v>45761</v>
      </c>
      <c r="B164" s="24">
        <v>98</v>
      </c>
      <c r="C164" s="29">
        <f t="shared" si="6"/>
        <v>16</v>
      </c>
      <c r="D164" s="24" t="str">
        <f t="shared" si="7"/>
        <v>Apr</v>
      </c>
      <c r="G164" s="1"/>
    </row>
    <row r="165" ht="15.15" spans="1:7">
      <c r="A165" s="28">
        <v>45762</v>
      </c>
      <c r="B165" s="24">
        <v>230</v>
      </c>
      <c r="C165" s="29">
        <f t="shared" si="6"/>
        <v>16</v>
      </c>
      <c r="D165" s="24" t="str">
        <f t="shared" si="7"/>
        <v>Apr</v>
      </c>
      <c r="G165" s="1"/>
    </row>
    <row r="166" ht="15.15" spans="1:7">
      <c r="A166" s="28">
        <v>45763</v>
      </c>
      <c r="B166" s="24">
        <v>524</v>
      </c>
      <c r="C166" s="29">
        <f t="shared" si="6"/>
        <v>16</v>
      </c>
      <c r="D166" s="24" t="str">
        <f t="shared" si="7"/>
        <v>Apr</v>
      </c>
      <c r="G166" s="1"/>
    </row>
    <row r="167" ht="15.15" spans="1:7">
      <c r="A167" s="28">
        <v>45769</v>
      </c>
      <c r="B167" s="24">
        <v>366</v>
      </c>
      <c r="C167" s="29">
        <f t="shared" si="6"/>
        <v>17</v>
      </c>
      <c r="D167" s="24" t="str">
        <f t="shared" si="7"/>
        <v>Apr</v>
      </c>
      <c r="G167" s="1"/>
    </row>
    <row r="168" ht="15.15" spans="1:7">
      <c r="A168" s="28">
        <v>45770</v>
      </c>
      <c r="B168" s="24">
        <v>192</v>
      </c>
      <c r="C168" s="29">
        <f t="shared" si="6"/>
        <v>17</v>
      </c>
      <c r="D168" s="24" t="str">
        <f t="shared" si="7"/>
        <v>Apr</v>
      </c>
      <c r="G168" s="1"/>
    </row>
    <row r="169" ht="15.15" spans="1:7">
      <c r="A169" s="28">
        <v>45771</v>
      </c>
      <c r="B169" s="24">
        <v>398</v>
      </c>
      <c r="C169" s="29">
        <f t="shared" si="6"/>
        <v>17</v>
      </c>
      <c r="D169" s="24" t="str">
        <f t="shared" si="7"/>
        <v>Apr</v>
      </c>
      <c r="G169" s="1"/>
    </row>
    <row r="170" ht="15.15" spans="1:7">
      <c r="A170" s="28">
        <v>45775</v>
      </c>
      <c r="B170" s="24">
        <v>88</v>
      </c>
      <c r="C170" s="29">
        <f t="shared" si="6"/>
        <v>18</v>
      </c>
      <c r="D170" s="24" t="str">
        <f t="shared" si="7"/>
        <v>Apr</v>
      </c>
      <c r="G170" s="1"/>
    </row>
    <row r="171" ht="15.15" spans="1:7">
      <c r="A171" s="28">
        <v>45776</v>
      </c>
      <c r="B171" s="24">
        <v>273</v>
      </c>
      <c r="C171" s="29">
        <f t="shared" si="6"/>
        <v>18</v>
      </c>
      <c r="D171" s="24" t="str">
        <f t="shared" si="7"/>
        <v>Apr</v>
      </c>
      <c r="G171" s="1"/>
    </row>
    <row r="172" ht="15.15" spans="1:7">
      <c r="A172" s="28">
        <v>45777</v>
      </c>
      <c r="B172" s="24">
        <v>115</v>
      </c>
      <c r="C172" s="29">
        <f t="shared" si="6"/>
        <v>18</v>
      </c>
      <c r="D172" s="24" t="str">
        <f t="shared" si="7"/>
        <v>Apr</v>
      </c>
      <c r="G172" s="1"/>
    </row>
    <row r="173" ht="15.15" spans="1:7">
      <c r="A173" s="28">
        <v>45778</v>
      </c>
      <c r="B173" s="24">
        <v>336</v>
      </c>
      <c r="C173" s="29">
        <f t="shared" si="6"/>
        <v>18</v>
      </c>
      <c r="D173" s="24" t="str">
        <f t="shared" si="7"/>
        <v>May</v>
      </c>
      <c r="G173" s="1"/>
    </row>
    <row r="174" ht="15.15" spans="1:7">
      <c r="A174" s="28">
        <v>45782</v>
      </c>
      <c r="B174" s="24">
        <v>94</v>
      </c>
      <c r="C174" s="29">
        <f t="shared" si="6"/>
        <v>19</v>
      </c>
      <c r="D174" s="24" t="str">
        <f t="shared" si="7"/>
        <v>May</v>
      </c>
      <c r="G174" s="1"/>
    </row>
    <row r="175" ht="15.15" spans="1:7">
      <c r="A175" s="28">
        <v>45783</v>
      </c>
      <c r="B175" s="24">
        <v>267</v>
      </c>
      <c r="C175" s="29">
        <f t="shared" si="6"/>
        <v>19</v>
      </c>
      <c r="D175" s="24" t="str">
        <f t="shared" si="7"/>
        <v>May</v>
      </c>
      <c r="G175" s="1"/>
    </row>
    <row r="176" ht="15.15" spans="1:7">
      <c r="A176" s="28">
        <v>45784</v>
      </c>
      <c r="B176" s="24">
        <v>64</v>
      </c>
      <c r="C176" s="29">
        <f t="shared" si="6"/>
        <v>19</v>
      </c>
      <c r="D176" s="24" t="str">
        <f t="shared" si="7"/>
        <v>May</v>
      </c>
      <c r="G176" s="1"/>
    </row>
    <row r="177" ht="15.15" spans="1:7">
      <c r="A177" s="28">
        <v>45785</v>
      </c>
      <c r="B177" s="24">
        <v>283</v>
      </c>
      <c r="C177" s="29">
        <f t="shared" si="6"/>
        <v>19</v>
      </c>
      <c r="D177" s="24" t="str">
        <f t="shared" si="7"/>
        <v>May</v>
      </c>
      <c r="G177" s="1"/>
    </row>
    <row r="178" ht="15.15" spans="1:7">
      <c r="A178" s="28">
        <v>45786</v>
      </c>
      <c r="B178" s="24">
        <v>47</v>
      </c>
      <c r="C178" s="29">
        <f t="shared" si="6"/>
        <v>19</v>
      </c>
      <c r="D178" s="24" t="str">
        <f t="shared" si="7"/>
        <v>May</v>
      </c>
      <c r="G178" s="1"/>
    </row>
    <row r="179" ht="15.15" spans="1:7">
      <c r="A179" s="28">
        <v>45789</v>
      </c>
      <c r="B179" s="24">
        <v>69</v>
      </c>
      <c r="C179" s="29">
        <f t="shared" si="6"/>
        <v>20</v>
      </c>
      <c r="D179" s="24" t="str">
        <f t="shared" si="7"/>
        <v>May</v>
      </c>
      <c r="G179" s="1"/>
    </row>
    <row r="180" ht="15.15" spans="1:7">
      <c r="A180" s="28">
        <v>45790</v>
      </c>
      <c r="B180" s="24">
        <v>287</v>
      </c>
      <c r="C180" s="29">
        <f t="shared" si="6"/>
        <v>20</v>
      </c>
      <c r="D180" s="24" t="str">
        <f t="shared" si="7"/>
        <v>May</v>
      </c>
      <c r="G180" s="1"/>
    </row>
    <row r="181" ht="15.15" spans="1:7">
      <c r="A181" s="28">
        <v>45791</v>
      </c>
      <c r="B181" s="24">
        <v>80</v>
      </c>
      <c r="C181" s="29">
        <f t="shared" si="6"/>
        <v>20</v>
      </c>
      <c r="D181" s="24" t="str">
        <f t="shared" si="7"/>
        <v>May</v>
      </c>
      <c r="G181" s="1"/>
    </row>
    <row r="182" ht="15.15" spans="1:7">
      <c r="A182" s="28">
        <v>45792</v>
      </c>
      <c r="B182" s="24">
        <v>155</v>
      </c>
      <c r="C182" s="29">
        <f t="shared" si="6"/>
        <v>20</v>
      </c>
      <c r="D182" s="24" t="str">
        <f t="shared" si="7"/>
        <v>May</v>
      </c>
      <c r="G182" s="1"/>
    </row>
    <row r="183" ht="15.15" spans="1:7">
      <c r="A183" s="28">
        <v>45793</v>
      </c>
      <c r="B183" s="24">
        <v>126</v>
      </c>
      <c r="C183" s="29">
        <f t="shared" si="6"/>
        <v>20</v>
      </c>
      <c r="D183" s="24" t="str">
        <f t="shared" si="7"/>
        <v>May</v>
      </c>
      <c r="G183" s="1"/>
    </row>
    <row r="184" ht="15.15" spans="1:7">
      <c r="A184" s="28">
        <v>45796</v>
      </c>
      <c r="B184" s="24">
        <v>122</v>
      </c>
      <c r="C184" s="29">
        <f t="shared" si="6"/>
        <v>21</v>
      </c>
      <c r="D184" s="24" t="str">
        <f t="shared" si="7"/>
        <v>May</v>
      </c>
      <c r="G184" s="1"/>
    </row>
    <row r="185" ht="15.15" spans="1:7">
      <c r="A185" s="28">
        <v>45797</v>
      </c>
      <c r="B185" s="24">
        <v>260</v>
      </c>
      <c r="C185" s="29">
        <f t="shared" si="6"/>
        <v>21</v>
      </c>
      <c r="D185" s="24" t="str">
        <f t="shared" si="7"/>
        <v>May</v>
      </c>
      <c r="G185" s="1"/>
    </row>
    <row r="186" ht="15.15" spans="1:7">
      <c r="A186" s="28">
        <v>45798</v>
      </c>
      <c r="B186" s="24">
        <v>12</v>
      </c>
      <c r="C186" s="29">
        <f t="shared" si="6"/>
        <v>21</v>
      </c>
      <c r="D186" s="24" t="str">
        <f t="shared" si="7"/>
        <v>May</v>
      </c>
      <c r="G186" s="1"/>
    </row>
    <row r="187" ht="15.15" spans="1:7">
      <c r="A187" s="28">
        <v>45799</v>
      </c>
      <c r="B187" s="24">
        <v>244</v>
      </c>
      <c r="C187" s="29">
        <f t="shared" si="6"/>
        <v>21</v>
      </c>
      <c r="D187" s="24" t="str">
        <f t="shared" si="7"/>
        <v>May</v>
      </c>
      <c r="G187" s="1"/>
    </row>
    <row r="188" ht="15.15" spans="1:7">
      <c r="A188" s="28">
        <v>45803</v>
      </c>
      <c r="B188" s="24">
        <v>118</v>
      </c>
      <c r="C188" s="29">
        <f t="shared" si="6"/>
        <v>22</v>
      </c>
      <c r="D188" s="24" t="str">
        <f t="shared" si="7"/>
        <v>May</v>
      </c>
      <c r="G188" s="1"/>
    </row>
    <row r="189" ht="15.15" spans="1:7">
      <c r="A189" s="28">
        <v>45804</v>
      </c>
      <c r="B189" s="24">
        <v>244</v>
      </c>
      <c r="C189" s="29">
        <f t="shared" si="6"/>
        <v>22</v>
      </c>
      <c r="D189" s="24" t="str">
        <f t="shared" si="7"/>
        <v>May</v>
      </c>
      <c r="G189" s="1"/>
    </row>
    <row r="190" ht="15.15" spans="1:7">
      <c r="A190" s="28">
        <v>45805</v>
      </c>
      <c r="B190" s="24">
        <v>69</v>
      </c>
      <c r="C190" s="29">
        <f t="shared" si="6"/>
        <v>22</v>
      </c>
      <c r="D190" s="24" t="str">
        <f t="shared" si="7"/>
        <v>May</v>
      </c>
      <c r="G190" s="1"/>
    </row>
    <row r="191" ht="15.15" spans="1:7">
      <c r="A191" s="28">
        <v>45806</v>
      </c>
      <c r="B191" s="24">
        <v>246</v>
      </c>
      <c r="C191" s="29">
        <f t="shared" si="6"/>
        <v>22</v>
      </c>
      <c r="D191" s="24" t="str">
        <f t="shared" si="7"/>
        <v>May</v>
      </c>
      <c r="G191" s="1"/>
    </row>
    <row r="192" ht="15.15" spans="1:7">
      <c r="A192" s="28">
        <v>45811</v>
      </c>
      <c r="B192" s="24">
        <v>392</v>
      </c>
      <c r="C192" s="29">
        <f t="shared" si="6"/>
        <v>23</v>
      </c>
      <c r="D192" s="24" t="str">
        <f t="shared" si="7"/>
        <v>Jun</v>
      </c>
      <c r="G192" s="1"/>
    </row>
    <row r="193" ht="15.15" spans="1:7">
      <c r="A193" s="28">
        <v>45812</v>
      </c>
      <c r="B193" s="24">
        <v>60</v>
      </c>
      <c r="C193" s="29">
        <f t="shared" si="6"/>
        <v>23</v>
      </c>
      <c r="D193" s="24" t="str">
        <f t="shared" si="7"/>
        <v>Jun</v>
      </c>
      <c r="G193" s="1"/>
    </row>
    <row r="194" ht="15.15" spans="1:7">
      <c r="A194" s="28">
        <v>45813</v>
      </c>
      <c r="B194" s="24">
        <v>222</v>
      </c>
      <c r="C194" s="29">
        <f t="shared" si="6"/>
        <v>23</v>
      </c>
      <c r="D194" s="24" t="str">
        <f t="shared" si="7"/>
        <v>Jun</v>
      </c>
      <c r="G194" s="1"/>
    </row>
    <row r="195" ht="15.15" spans="1:7">
      <c r="A195" s="28">
        <v>45818</v>
      </c>
      <c r="B195" s="24">
        <v>284</v>
      </c>
      <c r="C195" s="29">
        <f t="shared" si="6"/>
        <v>24</v>
      </c>
      <c r="D195" s="24" t="str">
        <f t="shared" si="7"/>
        <v>Jun</v>
      </c>
      <c r="G195" s="1"/>
    </row>
    <row r="196" ht="15.15" spans="1:7">
      <c r="A196" s="28">
        <v>45819</v>
      </c>
      <c r="B196" s="24">
        <v>141</v>
      </c>
      <c r="C196" s="29">
        <f t="shared" ref="C196:C259" si="8">WEEKNUM(A196,2)</f>
        <v>24</v>
      </c>
      <c r="D196" s="24" t="str">
        <f t="shared" ref="D196:D259" si="9">TEXT(A196,"mmm")</f>
        <v>Jun</v>
      </c>
      <c r="G196" s="1"/>
    </row>
    <row r="197" ht="15.15" spans="1:7">
      <c r="A197" s="28">
        <v>45820</v>
      </c>
      <c r="B197" s="24">
        <v>241</v>
      </c>
      <c r="C197" s="29">
        <f t="shared" si="8"/>
        <v>24</v>
      </c>
      <c r="D197" s="24" t="str">
        <f t="shared" si="9"/>
        <v>Jun</v>
      </c>
      <c r="G197" s="1"/>
    </row>
    <row r="198" ht="15.15" spans="1:7">
      <c r="A198" s="28">
        <v>45825</v>
      </c>
      <c r="B198" s="24">
        <v>353</v>
      </c>
      <c r="C198" s="29">
        <f t="shared" si="8"/>
        <v>25</v>
      </c>
      <c r="D198" s="24" t="str">
        <f t="shared" si="9"/>
        <v>Jun</v>
      </c>
      <c r="G198" s="1"/>
    </row>
    <row r="199" ht="15.15" spans="1:7">
      <c r="A199" s="28">
        <v>45826</v>
      </c>
      <c r="B199" s="24">
        <v>44</v>
      </c>
      <c r="C199" s="29">
        <f t="shared" si="8"/>
        <v>25</v>
      </c>
      <c r="D199" s="24" t="str">
        <f t="shared" si="9"/>
        <v>Jun</v>
      </c>
      <c r="G199" s="1"/>
    </row>
    <row r="200" ht="15.15" spans="1:7">
      <c r="A200" s="28">
        <v>45827</v>
      </c>
      <c r="B200" s="24">
        <v>156</v>
      </c>
      <c r="C200" s="29">
        <f t="shared" si="8"/>
        <v>25</v>
      </c>
      <c r="D200" s="24" t="str">
        <f t="shared" si="9"/>
        <v>Jun</v>
      </c>
      <c r="G200" s="1"/>
    </row>
    <row r="201" ht="15.15" spans="1:7">
      <c r="A201" s="28">
        <v>45832</v>
      </c>
      <c r="B201" s="24">
        <v>366</v>
      </c>
      <c r="C201" s="29">
        <f t="shared" si="8"/>
        <v>26</v>
      </c>
      <c r="D201" s="24" t="str">
        <f t="shared" si="9"/>
        <v>Jun</v>
      </c>
      <c r="G201" s="1"/>
    </row>
    <row r="202" ht="15.15" spans="1:7">
      <c r="A202" s="28">
        <v>45833</v>
      </c>
      <c r="B202" s="24">
        <v>93</v>
      </c>
      <c r="C202" s="29">
        <f t="shared" si="8"/>
        <v>26</v>
      </c>
      <c r="D202" s="24" t="str">
        <f t="shared" si="9"/>
        <v>Jun</v>
      </c>
      <c r="G202" s="1"/>
    </row>
    <row r="203" ht="15.15" spans="1:7">
      <c r="A203" s="28">
        <v>45834</v>
      </c>
      <c r="B203" s="24">
        <v>108</v>
      </c>
      <c r="C203" s="29">
        <f t="shared" si="8"/>
        <v>26</v>
      </c>
      <c r="D203" s="24" t="str">
        <f t="shared" si="9"/>
        <v>Jun</v>
      </c>
      <c r="G203" s="1"/>
    </row>
    <row r="204" ht="15.15" spans="1:7">
      <c r="A204" s="28">
        <v>45839</v>
      </c>
      <c r="B204" s="24">
        <v>377</v>
      </c>
      <c r="C204" s="29">
        <f t="shared" si="8"/>
        <v>27</v>
      </c>
      <c r="D204" s="24" t="str">
        <f t="shared" si="9"/>
        <v>Jul</v>
      </c>
      <c r="G204" s="1"/>
    </row>
    <row r="205" ht="15.15" spans="1:7">
      <c r="A205" s="28">
        <v>45840</v>
      </c>
      <c r="B205" s="24">
        <v>59</v>
      </c>
      <c r="C205" s="29">
        <f t="shared" si="8"/>
        <v>27</v>
      </c>
      <c r="D205" s="24" t="str">
        <f t="shared" si="9"/>
        <v>Jul</v>
      </c>
      <c r="G205" s="1"/>
    </row>
    <row r="206" ht="15.15" spans="1:7">
      <c r="A206" s="28">
        <v>45841</v>
      </c>
      <c r="B206" s="24">
        <v>104</v>
      </c>
      <c r="C206" s="29">
        <f t="shared" si="8"/>
        <v>27</v>
      </c>
      <c r="D206" s="24" t="str">
        <f t="shared" si="9"/>
        <v>Jul</v>
      </c>
      <c r="G206" s="1"/>
    </row>
    <row r="207" ht="15.15" spans="1:7">
      <c r="A207" s="28">
        <v>45846</v>
      </c>
      <c r="B207" s="24">
        <v>479</v>
      </c>
      <c r="C207" s="29">
        <f t="shared" si="8"/>
        <v>28</v>
      </c>
      <c r="D207" s="24" t="str">
        <f t="shared" si="9"/>
        <v>Jul</v>
      </c>
      <c r="G207" s="1"/>
    </row>
    <row r="208" ht="15.15" spans="1:7">
      <c r="A208" s="28">
        <v>45847</v>
      </c>
      <c r="B208" s="24">
        <v>104</v>
      </c>
      <c r="C208" s="29">
        <f t="shared" si="8"/>
        <v>28</v>
      </c>
      <c r="D208" s="24" t="str">
        <f t="shared" si="9"/>
        <v>Jul</v>
      </c>
      <c r="G208" s="1"/>
    </row>
    <row r="209" ht="15.15" spans="1:7">
      <c r="A209" s="30">
        <v>45848</v>
      </c>
      <c r="B209" s="31">
        <v>102</v>
      </c>
      <c r="C209" s="29">
        <f t="shared" si="8"/>
        <v>28</v>
      </c>
      <c r="D209" s="24" t="str">
        <f t="shared" si="9"/>
        <v>Jul</v>
      </c>
      <c r="G209" s="1"/>
    </row>
    <row r="210" ht="15.15" spans="1:7">
      <c r="A210" s="30">
        <v>45887</v>
      </c>
      <c r="B210" s="31">
        <v>1158</v>
      </c>
      <c r="C210" s="29">
        <f t="shared" si="8"/>
        <v>34</v>
      </c>
      <c r="D210" s="24" t="str">
        <f t="shared" si="9"/>
        <v>Aug</v>
      </c>
      <c r="G210" s="1"/>
    </row>
    <row r="211" ht="15.15" spans="1:7">
      <c r="A211" s="28">
        <v>45888</v>
      </c>
      <c r="B211" s="24">
        <v>1216</v>
      </c>
      <c r="C211" s="29">
        <f t="shared" si="8"/>
        <v>34</v>
      </c>
      <c r="D211" s="24" t="str">
        <f t="shared" si="9"/>
        <v>Aug</v>
      </c>
      <c r="G211" s="1"/>
    </row>
    <row r="212" ht="15.15" spans="1:7">
      <c r="A212" s="28">
        <v>45890</v>
      </c>
      <c r="B212" s="24">
        <v>894</v>
      </c>
      <c r="C212" s="29">
        <f t="shared" si="8"/>
        <v>34</v>
      </c>
      <c r="D212" s="24" t="str">
        <f t="shared" si="9"/>
        <v>Aug</v>
      </c>
      <c r="G212" s="1"/>
    </row>
    <row r="213" ht="15.15" spans="1:7">
      <c r="A213" s="28">
        <v>45894</v>
      </c>
      <c r="B213" s="24">
        <v>1069</v>
      </c>
      <c r="C213" s="29">
        <f t="shared" si="8"/>
        <v>35</v>
      </c>
      <c r="D213" s="24" t="str">
        <f t="shared" si="9"/>
        <v>Aug</v>
      </c>
      <c r="G213" s="1"/>
    </row>
    <row r="214" ht="15.15" spans="1:7">
      <c r="A214" s="28">
        <v>45895</v>
      </c>
      <c r="B214" s="24">
        <v>1334</v>
      </c>
      <c r="C214" s="29">
        <f t="shared" si="8"/>
        <v>35</v>
      </c>
      <c r="D214" s="24" t="str">
        <f t="shared" si="9"/>
        <v>Aug</v>
      </c>
      <c r="G214" s="1"/>
    </row>
    <row r="215" ht="15.15" spans="1:7">
      <c r="A215" s="28">
        <v>45897</v>
      </c>
      <c r="B215" s="24">
        <v>1064</v>
      </c>
      <c r="C215" s="29">
        <f t="shared" si="8"/>
        <v>35</v>
      </c>
      <c r="D215" s="24" t="str">
        <f t="shared" si="9"/>
        <v>Aug</v>
      </c>
      <c r="G215" s="1"/>
    </row>
    <row r="216" ht="15.15" spans="1:7">
      <c r="A216" s="28">
        <v>45901</v>
      </c>
      <c r="B216" s="24">
        <v>866</v>
      </c>
      <c r="C216" s="29">
        <f t="shared" si="8"/>
        <v>36</v>
      </c>
      <c r="D216" s="24" t="str">
        <f t="shared" si="9"/>
        <v>Sep</v>
      </c>
      <c r="G216" s="1"/>
    </row>
    <row r="217" ht="15.15" spans="1:7">
      <c r="A217" s="28">
        <v>45902</v>
      </c>
      <c r="B217" s="24">
        <v>884</v>
      </c>
      <c r="C217" s="29">
        <f t="shared" si="8"/>
        <v>36</v>
      </c>
      <c r="D217" s="24" t="str">
        <f t="shared" si="9"/>
        <v>Sep</v>
      </c>
      <c r="G217" s="1"/>
    </row>
    <row r="218" ht="15.15" spans="1:7">
      <c r="A218" s="28">
        <v>45904</v>
      </c>
      <c r="B218" s="24">
        <v>785</v>
      </c>
      <c r="C218" s="29">
        <f t="shared" si="8"/>
        <v>36</v>
      </c>
      <c r="D218" s="24" t="str">
        <f t="shared" si="9"/>
        <v>Sep</v>
      </c>
      <c r="G218" s="1"/>
    </row>
    <row r="219" ht="15.15" spans="1:7">
      <c r="A219" s="28">
        <v>45905</v>
      </c>
      <c r="B219" s="24">
        <v>432</v>
      </c>
      <c r="C219" s="29">
        <f t="shared" si="8"/>
        <v>36</v>
      </c>
      <c r="D219" s="24" t="str">
        <f t="shared" si="9"/>
        <v>Sep</v>
      </c>
      <c r="G219" s="1"/>
    </row>
    <row r="220" ht="15.15" spans="1:7">
      <c r="A220" s="28">
        <v>45908</v>
      </c>
      <c r="B220" s="24">
        <v>739</v>
      </c>
      <c r="C220" s="29">
        <f t="shared" si="8"/>
        <v>37</v>
      </c>
      <c r="D220" s="24" t="str">
        <f t="shared" si="9"/>
        <v>Sep</v>
      </c>
      <c r="G220" s="1"/>
    </row>
    <row r="221" ht="15.15" spans="1:7">
      <c r="A221" s="28">
        <v>45909</v>
      </c>
      <c r="B221" s="24">
        <v>997</v>
      </c>
      <c r="C221" s="29">
        <f t="shared" si="8"/>
        <v>37</v>
      </c>
      <c r="D221" s="24" t="str">
        <f t="shared" si="9"/>
        <v>Sep</v>
      </c>
      <c r="G221" s="1"/>
    </row>
    <row r="222" ht="15.15" spans="1:7">
      <c r="A222" s="28">
        <v>45911</v>
      </c>
      <c r="B222" s="24">
        <v>743</v>
      </c>
      <c r="C222" s="29">
        <f t="shared" si="8"/>
        <v>37</v>
      </c>
      <c r="D222" s="24" t="str">
        <f t="shared" si="9"/>
        <v>Sep</v>
      </c>
      <c r="G222" s="1"/>
    </row>
    <row r="223" ht="15.15" spans="1:7">
      <c r="A223" s="28">
        <v>45912</v>
      </c>
      <c r="B223" s="24">
        <v>403</v>
      </c>
      <c r="C223" s="29">
        <f t="shared" si="8"/>
        <v>37</v>
      </c>
      <c r="D223" s="24" t="str">
        <f t="shared" si="9"/>
        <v>Sep</v>
      </c>
      <c r="G223" s="1"/>
    </row>
    <row r="224" ht="15.15" spans="1:7">
      <c r="A224" s="28">
        <v>45915</v>
      </c>
      <c r="B224" s="24">
        <v>567</v>
      </c>
      <c r="C224" s="29">
        <f t="shared" si="8"/>
        <v>38</v>
      </c>
      <c r="D224" s="24" t="str">
        <f t="shared" si="9"/>
        <v>Sep</v>
      </c>
      <c r="G224" s="1"/>
    </row>
    <row r="225" ht="15.15" spans="1:7">
      <c r="A225" s="28">
        <v>45916</v>
      </c>
      <c r="B225" s="24">
        <v>714</v>
      </c>
      <c r="C225" s="29">
        <f t="shared" si="8"/>
        <v>38</v>
      </c>
      <c r="D225" s="24" t="str">
        <f t="shared" si="9"/>
        <v>Sep</v>
      </c>
      <c r="G225" s="1"/>
    </row>
    <row r="226" ht="15.15" spans="1:7">
      <c r="A226" s="28">
        <v>45917</v>
      </c>
      <c r="B226" s="24">
        <v>288</v>
      </c>
      <c r="C226" s="29">
        <f t="shared" si="8"/>
        <v>38</v>
      </c>
      <c r="D226" s="24" t="str">
        <f t="shared" si="9"/>
        <v>Sep</v>
      </c>
      <c r="G226" s="1"/>
    </row>
    <row r="227" ht="15.15" spans="1:7">
      <c r="A227" s="28">
        <v>45918</v>
      </c>
      <c r="B227" s="24">
        <v>506</v>
      </c>
      <c r="C227" s="29">
        <f t="shared" si="8"/>
        <v>38</v>
      </c>
      <c r="D227" s="24" t="str">
        <f t="shared" si="9"/>
        <v>Sep</v>
      </c>
      <c r="G227" s="1"/>
    </row>
    <row r="228" ht="15.15" spans="1:7">
      <c r="A228" s="28">
        <v>45922</v>
      </c>
      <c r="B228" s="24">
        <v>575</v>
      </c>
      <c r="C228" s="29">
        <f t="shared" si="8"/>
        <v>39</v>
      </c>
      <c r="D228" s="24" t="str">
        <f t="shared" si="9"/>
        <v>Sep</v>
      </c>
      <c r="G228" s="1"/>
    </row>
    <row r="229" ht="15.15" spans="1:7">
      <c r="A229" s="28">
        <v>45923</v>
      </c>
      <c r="B229" s="24">
        <v>451</v>
      </c>
      <c r="C229" s="29">
        <f t="shared" si="8"/>
        <v>39</v>
      </c>
      <c r="D229" s="24" t="str">
        <f t="shared" si="9"/>
        <v>Sep</v>
      </c>
      <c r="G229" s="1"/>
    </row>
    <row r="230" ht="15.15" spans="1:7">
      <c r="A230" s="28">
        <v>45924</v>
      </c>
      <c r="B230" s="24">
        <v>74</v>
      </c>
      <c r="C230" s="29">
        <f t="shared" si="8"/>
        <v>39</v>
      </c>
      <c r="D230" s="24" t="str">
        <f t="shared" si="9"/>
        <v>Sep</v>
      </c>
      <c r="G230" s="1"/>
    </row>
    <row r="231" ht="15.15" spans="1:7">
      <c r="A231" s="28">
        <v>45925</v>
      </c>
      <c r="B231" s="24">
        <v>665</v>
      </c>
      <c r="C231" s="29">
        <f t="shared" si="8"/>
        <v>39</v>
      </c>
      <c r="D231" s="24" t="str">
        <f t="shared" si="9"/>
        <v>Sep</v>
      </c>
      <c r="G231" s="1"/>
    </row>
    <row r="232" ht="15.15" spans="1:7">
      <c r="A232" s="28">
        <v>45929</v>
      </c>
      <c r="B232" s="24">
        <v>179</v>
      </c>
      <c r="C232" s="29">
        <f t="shared" si="8"/>
        <v>40</v>
      </c>
      <c r="D232" s="24" t="str">
        <f t="shared" si="9"/>
        <v>Sep</v>
      </c>
      <c r="G232" s="1"/>
    </row>
    <row r="233" ht="15.15" spans="1:7">
      <c r="A233" s="28">
        <v>45930</v>
      </c>
      <c r="B233" s="24">
        <v>791</v>
      </c>
      <c r="C233" s="29">
        <f t="shared" si="8"/>
        <v>40</v>
      </c>
      <c r="D233" s="24" t="str">
        <f t="shared" si="9"/>
        <v>Sep</v>
      </c>
      <c r="G233" s="1"/>
    </row>
    <row r="234" ht="15.15" spans="1:7">
      <c r="A234" s="28">
        <v>45931</v>
      </c>
      <c r="B234" s="24">
        <v>58</v>
      </c>
      <c r="C234" s="29">
        <f t="shared" si="8"/>
        <v>40</v>
      </c>
      <c r="D234" s="24" t="str">
        <f t="shared" si="9"/>
        <v>Oct</v>
      </c>
      <c r="G234" s="1"/>
    </row>
    <row r="235" ht="15.15" spans="1:7">
      <c r="A235" s="28">
        <v>45932</v>
      </c>
      <c r="B235" s="24">
        <v>545</v>
      </c>
      <c r="C235" s="29">
        <f t="shared" si="8"/>
        <v>40</v>
      </c>
      <c r="D235" s="24" t="str">
        <f t="shared" si="9"/>
        <v>Oct</v>
      </c>
      <c r="G235" s="1"/>
    </row>
    <row r="236" ht="15.15" spans="1:7">
      <c r="A236" s="28">
        <v>45936</v>
      </c>
      <c r="B236" s="24">
        <v>101</v>
      </c>
      <c r="C236" s="29">
        <f t="shared" si="8"/>
        <v>41</v>
      </c>
      <c r="D236" s="24" t="str">
        <f t="shared" si="9"/>
        <v>Oct</v>
      </c>
      <c r="G236" s="1"/>
    </row>
    <row r="237" ht="15.15" spans="1:7">
      <c r="A237" s="28">
        <v>45937</v>
      </c>
      <c r="B237" s="24">
        <v>529</v>
      </c>
      <c r="C237" s="29">
        <f t="shared" si="8"/>
        <v>41</v>
      </c>
      <c r="D237" s="24" t="str">
        <f t="shared" si="9"/>
        <v>Oct</v>
      </c>
      <c r="G237" s="1"/>
    </row>
    <row r="238" ht="15.15" spans="1:7">
      <c r="A238" s="28">
        <v>45938</v>
      </c>
      <c r="B238" s="24">
        <v>37</v>
      </c>
      <c r="C238" s="29">
        <f t="shared" si="8"/>
        <v>41</v>
      </c>
      <c r="D238" s="24" t="str">
        <f t="shared" si="9"/>
        <v>Oct</v>
      </c>
      <c r="G238" s="1"/>
    </row>
    <row r="239" ht="15.15" spans="1:7">
      <c r="A239" s="28">
        <v>45939</v>
      </c>
      <c r="B239" s="24">
        <v>504</v>
      </c>
      <c r="C239" s="29">
        <f t="shared" si="8"/>
        <v>41</v>
      </c>
      <c r="D239" s="24" t="str">
        <f t="shared" si="9"/>
        <v>Oct</v>
      </c>
      <c r="G239" s="1"/>
    </row>
    <row r="240" ht="15.15" spans="1:7">
      <c r="A240" s="28">
        <v>45943</v>
      </c>
      <c r="B240" s="24">
        <v>56</v>
      </c>
      <c r="C240" s="29">
        <f t="shared" si="8"/>
        <v>42</v>
      </c>
      <c r="D240" s="24" t="str">
        <f t="shared" si="9"/>
        <v>Oct</v>
      </c>
      <c r="G240" s="1"/>
    </row>
    <row r="241" ht="15.15" spans="1:7">
      <c r="A241" s="28">
        <v>45944</v>
      </c>
      <c r="B241" s="24">
        <v>345</v>
      </c>
      <c r="C241" s="29">
        <f t="shared" si="8"/>
        <v>42</v>
      </c>
      <c r="D241" s="24" t="str">
        <f t="shared" si="9"/>
        <v>Oct</v>
      </c>
      <c r="G241" s="1"/>
    </row>
    <row r="242" ht="15.15" spans="1:7">
      <c r="A242" s="28">
        <v>45945</v>
      </c>
      <c r="B242" s="24">
        <v>40</v>
      </c>
      <c r="C242" s="29">
        <f t="shared" si="8"/>
        <v>42</v>
      </c>
      <c r="D242" s="24" t="str">
        <f t="shared" si="9"/>
        <v>Oct</v>
      </c>
      <c r="G242" s="1"/>
    </row>
    <row r="243" ht="15.15" spans="1:7">
      <c r="A243" s="28">
        <v>45946</v>
      </c>
      <c r="B243" s="24">
        <v>436</v>
      </c>
      <c r="C243" s="29">
        <f t="shared" si="8"/>
        <v>42</v>
      </c>
      <c r="D243" s="24" t="str">
        <f t="shared" si="9"/>
        <v>Oct</v>
      </c>
      <c r="G243" s="1"/>
    </row>
    <row r="244" ht="15.15" spans="1:7">
      <c r="A244" s="28">
        <v>45951</v>
      </c>
      <c r="B244" s="24">
        <v>264</v>
      </c>
      <c r="C244" s="29">
        <f t="shared" si="8"/>
        <v>43</v>
      </c>
      <c r="D244" s="24" t="str">
        <f t="shared" si="9"/>
        <v>Oct</v>
      </c>
      <c r="G244" s="1"/>
    </row>
    <row r="245" ht="15.15" spans="1:7">
      <c r="A245" s="28">
        <v>45952</v>
      </c>
      <c r="B245" s="24">
        <v>38</v>
      </c>
      <c r="C245" s="29">
        <f t="shared" si="8"/>
        <v>43</v>
      </c>
      <c r="D245" s="24" t="str">
        <f t="shared" si="9"/>
        <v>Oct</v>
      </c>
      <c r="G245" s="1"/>
    </row>
    <row r="246" ht="15.15" spans="1:7">
      <c r="A246" s="28">
        <v>45953</v>
      </c>
      <c r="B246" s="24">
        <v>268</v>
      </c>
      <c r="C246" s="29">
        <f t="shared" si="8"/>
        <v>43</v>
      </c>
      <c r="D246" s="24" t="str">
        <f t="shared" si="9"/>
        <v>Oct</v>
      </c>
      <c r="G246" s="1"/>
    </row>
    <row r="247" ht="15.15" spans="1:7">
      <c r="A247" s="28">
        <v>45954</v>
      </c>
      <c r="B247" s="24">
        <v>103</v>
      </c>
      <c r="C247" s="29">
        <f t="shared" si="8"/>
        <v>43</v>
      </c>
      <c r="D247" s="24" t="str">
        <f t="shared" si="9"/>
        <v>Oct</v>
      </c>
      <c r="G247" s="1"/>
    </row>
    <row r="248" ht="15.15" spans="1:7">
      <c r="A248" s="28">
        <v>45958</v>
      </c>
      <c r="B248" s="24">
        <v>157</v>
      </c>
      <c r="C248" s="29">
        <f t="shared" si="8"/>
        <v>44</v>
      </c>
      <c r="D248" s="24" t="str">
        <f t="shared" si="9"/>
        <v>Oct</v>
      </c>
      <c r="G248" s="1"/>
    </row>
    <row r="249" ht="15.15" spans="1:7">
      <c r="A249" s="28">
        <v>45959</v>
      </c>
      <c r="B249" s="24">
        <v>116</v>
      </c>
      <c r="C249" s="29">
        <f t="shared" si="8"/>
        <v>44</v>
      </c>
      <c r="D249" s="24" t="str">
        <f t="shared" si="9"/>
        <v>Oct</v>
      </c>
      <c r="G249" s="1"/>
    </row>
    <row r="250" ht="15.15" spans="1:7">
      <c r="A250" s="28">
        <v>45960</v>
      </c>
      <c r="B250" s="24">
        <v>222</v>
      </c>
      <c r="C250" s="29">
        <f t="shared" si="8"/>
        <v>44</v>
      </c>
      <c r="D250" s="24" t="str">
        <f t="shared" si="9"/>
        <v>Oct</v>
      </c>
      <c r="G250" s="1"/>
    </row>
    <row r="251" ht="15.15" spans="1:7">
      <c r="A251" s="28">
        <v>45961</v>
      </c>
      <c r="B251" s="24">
        <v>66</v>
      </c>
      <c r="C251" s="29">
        <f t="shared" si="8"/>
        <v>44</v>
      </c>
      <c r="D251" s="24" t="str">
        <f t="shared" si="9"/>
        <v>Oct</v>
      </c>
      <c r="G251" s="1"/>
    </row>
    <row r="252" ht="15.15" spans="1:7">
      <c r="A252" s="28">
        <v>45966</v>
      </c>
      <c r="B252" s="24">
        <v>58</v>
      </c>
      <c r="C252" s="29">
        <f t="shared" si="8"/>
        <v>45</v>
      </c>
      <c r="D252" s="24" t="str">
        <f t="shared" si="9"/>
        <v>Nov</v>
      </c>
      <c r="G252" s="1"/>
    </row>
    <row r="253" ht="15.15" spans="1:7">
      <c r="A253" s="28">
        <v>45967</v>
      </c>
      <c r="B253" s="24">
        <v>273</v>
      </c>
      <c r="C253" s="29">
        <f t="shared" si="8"/>
        <v>45</v>
      </c>
      <c r="D253" s="24" t="str">
        <f t="shared" si="9"/>
        <v>Nov</v>
      </c>
      <c r="G253" s="1"/>
    </row>
    <row r="254" ht="15.15" spans="1:7">
      <c r="A254" s="28">
        <v>45972</v>
      </c>
      <c r="B254" s="24">
        <v>40</v>
      </c>
      <c r="C254" s="29">
        <f t="shared" si="8"/>
        <v>46</v>
      </c>
      <c r="D254" s="24" t="str">
        <f t="shared" si="9"/>
        <v>Nov</v>
      </c>
      <c r="G254" s="1"/>
    </row>
    <row r="255" ht="15.15" spans="1:7">
      <c r="A255" s="28">
        <v>45974</v>
      </c>
      <c r="B255" s="24">
        <v>252</v>
      </c>
      <c r="C255" s="29">
        <f t="shared" si="8"/>
        <v>46</v>
      </c>
      <c r="D255" s="24" t="str">
        <f t="shared" si="9"/>
        <v>Nov</v>
      </c>
      <c r="G255" s="1"/>
    </row>
    <row r="256" ht="15.15" spans="1:7">
      <c r="A256" s="28">
        <v>45979</v>
      </c>
      <c r="B256" s="24">
        <v>17</v>
      </c>
      <c r="C256" s="29">
        <f t="shared" si="8"/>
        <v>47</v>
      </c>
      <c r="D256" s="24" t="str">
        <f t="shared" si="9"/>
        <v>Nov</v>
      </c>
      <c r="G256" s="1"/>
    </row>
    <row r="257" ht="15.15" spans="1:7">
      <c r="A257" s="28">
        <v>45980</v>
      </c>
      <c r="B257" s="24">
        <v>14</v>
      </c>
      <c r="C257" s="29">
        <f t="shared" si="8"/>
        <v>47</v>
      </c>
      <c r="D257" s="24" t="str">
        <f t="shared" si="9"/>
        <v>Nov</v>
      </c>
      <c r="G257" s="1"/>
    </row>
    <row r="258" ht="15.15" spans="1:7">
      <c r="A258" s="28">
        <v>45981</v>
      </c>
      <c r="B258" s="24">
        <v>203</v>
      </c>
      <c r="C258" s="29">
        <f t="shared" si="8"/>
        <v>47</v>
      </c>
      <c r="D258" s="24" t="str">
        <f t="shared" si="9"/>
        <v>Nov</v>
      </c>
      <c r="G258" s="1"/>
    </row>
    <row r="259" ht="15.15" spans="1:7">
      <c r="A259" s="28">
        <v>45986</v>
      </c>
      <c r="B259" s="24">
        <v>35</v>
      </c>
      <c r="C259" s="29">
        <f t="shared" si="8"/>
        <v>48</v>
      </c>
      <c r="D259" s="24" t="str">
        <f t="shared" si="9"/>
        <v>Nov</v>
      </c>
      <c r="G259" s="1"/>
    </row>
    <row r="260" ht="15.15" spans="1:7">
      <c r="A260" s="28">
        <v>45988</v>
      </c>
      <c r="B260" s="24">
        <v>75</v>
      </c>
      <c r="C260" s="29">
        <f t="shared" ref="C260:C323" si="10">WEEKNUM(A260,2)</f>
        <v>48</v>
      </c>
      <c r="D260" s="24" t="str">
        <f t="shared" ref="D260:D323" si="11">TEXT(A260,"mmm")</f>
        <v>Nov</v>
      </c>
      <c r="G260" s="1"/>
    </row>
    <row r="261" ht="15.15" spans="1:7">
      <c r="A261" s="28">
        <v>45995</v>
      </c>
      <c r="B261" s="24">
        <v>65</v>
      </c>
      <c r="C261" s="29">
        <f t="shared" si="10"/>
        <v>49</v>
      </c>
      <c r="D261" s="24" t="str">
        <f t="shared" si="11"/>
        <v>Dec</v>
      </c>
      <c r="G261" s="1"/>
    </row>
    <row r="262" ht="15.15" spans="1:7">
      <c r="A262" s="28">
        <v>46000</v>
      </c>
      <c r="B262" s="24">
        <v>26</v>
      </c>
      <c r="C262" s="29">
        <f t="shared" si="10"/>
        <v>50</v>
      </c>
      <c r="D262" s="24" t="str">
        <f t="shared" si="11"/>
        <v>Dec</v>
      </c>
      <c r="G262" s="1"/>
    </row>
    <row r="263" ht="15.15" spans="1:7">
      <c r="A263" s="28">
        <v>46002</v>
      </c>
      <c r="B263" s="24">
        <v>76</v>
      </c>
      <c r="C263" s="29">
        <f t="shared" si="10"/>
        <v>50</v>
      </c>
      <c r="D263" s="24" t="str">
        <f t="shared" si="11"/>
        <v>Dec</v>
      </c>
      <c r="G263" s="1"/>
    </row>
    <row r="264" ht="15.15" spans="1:7">
      <c r="A264" s="28">
        <v>46009</v>
      </c>
      <c r="B264" s="24">
        <v>79</v>
      </c>
      <c r="C264" s="29">
        <f t="shared" si="10"/>
        <v>51</v>
      </c>
      <c r="D264" s="24" t="str">
        <f t="shared" si="11"/>
        <v>Dec</v>
      </c>
      <c r="G264" s="1"/>
    </row>
    <row r="265" ht="15.15" spans="1:7">
      <c r="A265" s="28">
        <v>46010</v>
      </c>
      <c r="B265" s="24">
        <v>16</v>
      </c>
      <c r="C265" s="29">
        <f t="shared" si="10"/>
        <v>51</v>
      </c>
      <c r="D265" s="24" t="str">
        <f t="shared" si="11"/>
        <v>Dec</v>
      </c>
      <c r="G265" s="1"/>
    </row>
    <row r="266" ht="15.15" spans="1:7">
      <c r="A266" s="28">
        <v>46014</v>
      </c>
      <c r="B266" s="24">
        <v>26</v>
      </c>
      <c r="C266" s="29">
        <f t="shared" si="10"/>
        <v>52</v>
      </c>
      <c r="D266" s="24" t="str">
        <f t="shared" si="11"/>
        <v>Dec</v>
      </c>
      <c r="G266" s="1"/>
    </row>
    <row r="267" ht="15.15" spans="1:7">
      <c r="A267" s="28">
        <v>46028</v>
      </c>
      <c r="B267" s="24">
        <v>11</v>
      </c>
      <c r="C267" s="29">
        <f t="shared" si="10"/>
        <v>2</v>
      </c>
      <c r="D267" s="24" t="str">
        <f t="shared" si="11"/>
        <v>Jan</v>
      </c>
      <c r="G267" s="1"/>
    </row>
    <row r="268" ht="15.15" spans="1:7">
      <c r="A268" s="28">
        <v>46029</v>
      </c>
      <c r="B268" s="24">
        <v>12</v>
      </c>
      <c r="C268" s="29">
        <f t="shared" si="10"/>
        <v>2</v>
      </c>
      <c r="D268" s="24" t="str">
        <f t="shared" si="11"/>
        <v>Jan</v>
      </c>
      <c r="G268" s="1"/>
    </row>
    <row r="269" ht="15.15" spans="1:7">
      <c r="A269" s="28">
        <v>46030</v>
      </c>
      <c r="B269" s="24">
        <v>26</v>
      </c>
      <c r="C269" s="29">
        <f t="shared" si="10"/>
        <v>2</v>
      </c>
      <c r="D269" s="24" t="str">
        <f t="shared" si="11"/>
        <v>Jan</v>
      </c>
      <c r="G269" s="1"/>
    </row>
    <row r="270" ht="15.15" spans="1:7">
      <c r="A270" s="28">
        <v>46035</v>
      </c>
      <c r="B270" s="24">
        <v>31</v>
      </c>
      <c r="C270" s="29">
        <f t="shared" si="10"/>
        <v>3</v>
      </c>
      <c r="D270" s="24" t="str">
        <f t="shared" si="11"/>
        <v>Jan</v>
      </c>
      <c r="G270" s="1"/>
    </row>
    <row r="271" ht="15.15" spans="1:7">
      <c r="A271" s="28">
        <v>46036</v>
      </c>
      <c r="B271" s="24">
        <v>4</v>
      </c>
      <c r="C271" s="29">
        <f t="shared" si="10"/>
        <v>3</v>
      </c>
      <c r="D271" s="24" t="str">
        <f t="shared" si="11"/>
        <v>Jan</v>
      </c>
      <c r="G271" s="1"/>
    </row>
    <row r="272" ht="15.15" spans="1:7">
      <c r="A272" s="28">
        <v>46037</v>
      </c>
      <c r="B272" s="24">
        <v>29</v>
      </c>
      <c r="C272" s="29">
        <f t="shared" si="10"/>
        <v>3</v>
      </c>
      <c r="D272" s="24" t="str">
        <f t="shared" si="11"/>
        <v>Jan</v>
      </c>
      <c r="G272" s="1"/>
    </row>
    <row r="273" ht="15.15" spans="1:7">
      <c r="A273" s="28">
        <v>46042</v>
      </c>
      <c r="B273" s="24">
        <v>36</v>
      </c>
      <c r="C273" s="29">
        <f t="shared" si="10"/>
        <v>4</v>
      </c>
      <c r="D273" s="24" t="str">
        <f t="shared" si="11"/>
        <v>Jan</v>
      </c>
      <c r="G273" s="1"/>
    </row>
    <row r="274" ht="15.15" spans="1:7">
      <c r="A274" s="28">
        <v>46043</v>
      </c>
      <c r="B274" s="24">
        <v>2</v>
      </c>
      <c r="C274" s="29">
        <f t="shared" si="10"/>
        <v>4</v>
      </c>
      <c r="D274" s="24" t="str">
        <f t="shared" si="11"/>
        <v>Jan</v>
      </c>
      <c r="G274" s="1"/>
    </row>
    <row r="275" ht="15.15" spans="1:7">
      <c r="A275" s="28">
        <v>46044</v>
      </c>
      <c r="B275" s="24">
        <v>43</v>
      </c>
      <c r="C275" s="29">
        <f t="shared" si="10"/>
        <v>4</v>
      </c>
      <c r="D275" s="24" t="str">
        <f t="shared" si="11"/>
        <v>Jan</v>
      </c>
      <c r="G275" s="1"/>
    </row>
    <row r="276" ht="15.15" spans="1:7">
      <c r="A276" s="28">
        <v>46049</v>
      </c>
      <c r="B276" s="24">
        <v>27</v>
      </c>
      <c r="C276" s="29">
        <f t="shared" si="10"/>
        <v>5</v>
      </c>
      <c r="D276" s="24" t="str">
        <f t="shared" si="11"/>
        <v>Jan</v>
      </c>
      <c r="G276" s="1"/>
    </row>
    <row r="277" ht="15.15" spans="1:7">
      <c r="A277" s="28">
        <v>46050</v>
      </c>
      <c r="B277" s="24">
        <v>5</v>
      </c>
      <c r="C277" s="29">
        <f t="shared" si="10"/>
        <v>5</v>
      </c>
      <c r="D277" s="24" t="str">
        <f t="shared" si="11"/>
        <v>Jan</v>
      </c>
      <c r="G277" s="1"/>
    </row>
    <row r="278" ht="15.15" spans="1:7">
      <c r="A278" s="28">
        <v>46051</v>
      </c>
      <c r="B278" s="24">
        <v>95</v>
      </c>
      <c r="C278" s="29">
        <f t="shared" si="10"/>
        <v>5</v>
      </c>
      <c r="D278" s="24" t="str">
        <f t="shared" si="11"/>
        <v>Jan</v>
      </c>
      <c r="G278" s="1"/>
    </row>
    <row r="279" ht="15.15" spans="1:7">
      <c r="A279" s="28">
        <v>46056</v>
      </c>
      <c r="B279" s="24">
        <v>111</v>
      </c>
      <c r="C279" s="29">
        <f t="shared" si="10"/>
        <v>6</v>
      </c>
      <c r="D279" s="24" t="str">
        <f t="shared" si="11"/>
        <v>Feb</v>
      </c>
      <c r="G279" s="1"/>
    </row>
    <row r="280" ht="15.15" spans="1:7">
      <c r="A280" s="28">
        <v>46058</v>
      </c>
      <c r="B280" s="24">
        <v>49</v>
      </c>
      <c r="C280" s="29">
        <f t="shared" si="10"/>
        <v>6</v>
      </c>
      <c r="D280" s="24" t="str">
        <f t="shared" si="11"/>
        <v>Feb</v>
      </c>
      <c r="G280" s="1"/>
    </row>
    <row r="281" ht="15.15" spans="1:7">
      <c r="A281" s="28">
        <v>46059</v>
      </c>
      <c r="B281" s="24">
        <v>57</v>
      </c>
      <c r="C281" s="29">
        <f t="shared" si="10"/>
        <v>6</v>
      </c>
      <c r="D281" s="24" t="str">
        <f t="shared" si="11"/>
        <v>Feb</v>
      </c>
      <c r="G281" s="1"/>
    </row>
    <row r="282" ht="15.15" spans="1:7">
      <c r="A282" s="28">
        <v>46063</v>
      </c>
      <c r="B282" s="24">
        <v>159</v>
      </c>
      <c r="C282" s="29">
        <f t="shared" si="10"/>
        <v>7</v>
      </c>
      <c r="D282" s="24" t="str">
        <f t="shared" si="11"/>
        <v>Feb</v>
      </c>
      <c r="G282" s="1"/>
    </row>
    <row r="283" ht="15.15" spans="1:7">
      <c r="A283" s="28">
        <v>46065</v>
      </c>
      <c r="B283" s="24">
        <v>126</v>
      </c>
      <c r="C283" s="29">
        <f t="shared" si="10"/>
        <v>7</v>
      </c>
      <c r="D283" s="24" t="str">
        <f t="shared" si="11"/>
        <v>Feb</v>
      </c>
      <c r="G283" s="1"/>
    </row>
    <row r="284" ht="15.15" spans="1:7">
      <c r="A284" s="28">
        <v>46066</v>
      </c>
      <c r="B284" s="24">
        <v>90</v>
      </c>
      <c r="C284" s="29">
        <f t="shared" si="10"/>
        <v>7</v>
      </c>
      <c r="D284" s="24" t="str">
        <f t="shared" si="11"/>
        <v>Feb</v>
      </c>
      <c r="G284" s="1"/>
    </row>
    <row r="285" ht="15.15" spans="1:7">
      <c r="A285" s="28">
        <v>46069</v>
      </c>
      <c r="B285" s="24">
        <v>106</v>
      </c>
      <c r="C285" s="29">
        <f t="shared" si="10"/>
        <v>8</v>
      </c>
      <c r="D285" s="24" t="str">
        <f t="shared" si="11"/>
        <v>Feb</v>
      </c>
      <c r="G285" s="1"/>
    </row>
    <row r="286" ht="15.15" spans="1:7">
      <c r="A286" s="28">
        <v>46071</v>
      </c>
      <c r="B286" s="24">
        <v>74</v>
      </c>
      <c r="C286" s="29">
        <f t="shared" si="10"/>
        <v>8</v>
      </c>
      <c r="D286" s="24" t="str">
        <f t="shared" si="11"/>
        <v>Feb</v>
      </c>
      <c r="G286" s="1"/>
    </row>
    <row r="287" ht="15.15" spans="1:7">
      <c r="A287" s="28">
        <v>46072</v>
      </c>
      <c r="B287" s="24">
        <v>247</v>
      </c>
      <c r="C287" s="29">
        <f t="shared" si="10"/>
        <v>8</v>
      </c>
      <c r="D287" s="24" t="str">
        <f t="shared" si="11"/>
        <v>Feb</v>
      </c>
      <c r="G287" s="1"/>
    </row>
    <row r="288" ht="15.15" spans="1:7">
      <c r="A288" s="28">
        <v>46073</v>
      </c>
      <c r="B288" s="24">
        <v>45</v>
      </c>
      <c r="C288" s="29">
        <f t="shared" si="10"/>
        <v>8</v>
      </c>
      <c r="D288" s="24" t="str">
        <f t="shared" si="11"/>
        <v>Feb</v>
      </c>
      <c r="G288" s="1"/>
    </row>
    <row r="289" ht="15.15" spans="1:7">
      <c r="A289" s="28">
        <v>46077</v>
      </c>
      <c r="B289" s="24">
        <v>115</v>
      </c>
      <c r="C289" s="29">
        <f t="shared" si="10"/>
        <v>9</v>
      </c>
      <c r="D289" s="24" t="str">
        <f t="shared" si="11"/>
        <v>Feb</v>
      </c>
      <c r="G289" s="1"/>
    </row>
    <row r="290" ht="15.15" spans="1:7">
      <c r="A290" s="28">
        <v>46078</v>
      </c>
      <c r="B290" s="24">
        <v>92</v>
      </c>
      <c r="C290" s="29">
        <f t="shared" si="10"/>
        <v>9</v>
      </c>
      <c r="D290" s="24" t="str">
        <f t="shared" si="11"/>
        <v>Feb</v>
      </c>
      <c r="G290" s="1"/>
    </row>
    <row r="291" ht="15.15" spans="1:7">
      <c r="A291" s="28">
        <v>46079</v>
      </c>
      <c r="B291" s="24">
        <v>459</v>
      </c>
      <c r="C291" s="29">
        <f t="shared" si="10"/>
        <v>9</v>
      </c>
      <c r="D291" s="24" t="str">
        <f t="shared" si="11"/>
        <v>Feb</v>
      </c>
      <c r="G291" s="1"/>
    </row>
    <row r="292" ht="15.15" spans="1:7">
      <c r="A292" s="28">
        <v>46080</v>
      </c>
      <c r="B292" s="24">
        <v>105</v>
      </c>
      <c r="C292" s="29">
        <f t="shared" si="10"/>
        <v>9</v>
      </c>
      <c r="D292" s="24" t="str">
        <f t="shared" si="11"/>
        <v>Feb</v>
      </c>
      <c r="G292" s="1"/>
    </row>
    <row r="293" ht="15.15" spans="1:7">
      <c r="A293" s="28">
        <v>46084</v>
      </c>
      <c r="B293" s="24">
        <v>169</v>
      </c>
      <c r="C293" s="29">
        <f t="shared" si="10"/>
        <v>10</v>
      </c>
      <c r="D293" s="24" t="str">
        <f t="shared" si="11"/>
        <v>Mar</v>
      </c>
      <c r="G293" s="1"/>
    </row>
    <row r="294" ht="15.15" spans="1:7">
      <c r="A294" s="28">
        <v>46085</v>
      </c>
      <c r="B294" s="24">
        <v>41</v>
      </c>
      <c r="C294" s="29">
        <f t="shared" si="10"/>
        <v>10</v>
      </c>
      <c r="D294" s="24" t="str">
        <f t="shared" si="11"/>
        <v>Mar</v>
      </c>
      <c r="G294" s="1"/>
    </row>
    <row r="295" ht="15.15" spans="1:7">
      <c r="A295" s="28">
        <v>46086</v>
      </c>
      <c r="B295" s="24">
        <v>786</v>
      </c>
      <c r="C295" s="29">
        <f t="shared" si="10"/>
        <v>10</v>
      </c>
      <c r="D295" s="24" t="str">
        <f t="shared" si="11"/>
        <v>Mar</v>
      </c>
      <c r="G295" s="1"/>
    </row>
    <row r="296" ht="15.15" spans="1:7">
      <c r="A296" s="28">
        <v>46091</v>
      </c>
      <c r="B296" s="24">
        <v>441</v>
      </c>
      <c r="C296" s="29">
        <f t="shared" si="10"/>
        <v>11</v>
      </c>
      <c r="D296" s="24" t="str">
        <f t="shared" si="11"/>
        <v>Mar</v>
      </c>
      <c r="G296" s="1"/>
    </row>
    <row r="297" ht="15.15" spans="1:7">
      <c r="A297" s="28">
        <v>46092</v>
      </c>
      <c r="B297" s="24">
        <v>88</v>
      </c>
      <c r="C297" s="29">
        <f t="shared" si="10"/>
        <v>11</v>
      </c>
      <c r="D297" s="24" t="str">
        <f t="shared" si="11"/>
        <v>Mar</v>
      </c>
      <c r="G297" s="1"/>
    </row>
    <row r="298" ht="15.15" spans="1:7">
      <c r="A298" s="28">
        <v>46093</v>
      </c>
      <c r="B298" s="24">
        <v>560</v>
      </c>
      <c r="C298" s="29">
        <f t="shared" si="10"/>
        <v>11</v>
      </c>
      <c r="D298" s="24" t="str">
        <f t="shared" si="11"/>
        <v>Mar</v>
      </c>
      <c r="G298" s="1"/>
    </row>
    <row r="299" ht="15.15" spans="1:7">
      <c r="A299" s="28">
        <v>46098</v>
      </c>
      <c r="B299" s="24">
        <v>494</v>
      </c>
      <c r="C299" s="29">
        <f t="shared" si="10"/>
        <v>12</v>
      </c>
      <c r="D299" s="24" t="str">
        <f t="shared" si="11"/>
        <v>Mar</v>
      </c>
      <c r="G299" s="1"/>
    </row>
    <row r="300" ht="15.15" spans="1:7">
      <c r="A300" s="28">
        <v>46099</v>
      </c>
      <c r="B300" s="24">
        <v>43</v>
      </c>
      <c r="C300" s="29">
        <f t="shared" si="10"/>
        <v>12</v>
      </c>
      <c r="D300" s="24" t="str">
        <f t="shared" si="11"/>
        <v>Mar</v>
      </c>
      <c r="G300" s="1"/>
    </row>
    <row r="301" ht="15.15" spans="1:7">
      <c r="A301" s="28">
        <v>46100</v>
      </c>
      <c r="B301" s="24">
        <v>548</v>
      </c>
      <c r="C301" s="29">
        <f t="shared" si="10"/>
        <v>12</v>
      </c>
      <c r="D301" s="24" t="str">
        <f t="shared" si="11"/>
        <v>Mar</v>
      </c>
      <c r="G301" s="1"/>
    </row>
    <row r="302" ht="15.15" spans="1:7">
      <c r="A302" s="28">
        <v>46105</v>
      </c>
      <c r="B302" s="24">
        <v>543</v>
      </c>
      <c r="C302" s="29">
        <f t="shared" si="10"/>
        <v>13</v>
      </c>
      <c r="D302" s="24" t="str">
        <f t="shared" si="11"/>
        <v>Mar</v>
      </c>
      <c r="G302" s="1"/>
    </row>
    <row r="303" ht="15.15" spans="1:7">
      <c r="A303" s="28">
        <v>46106</v>
      </c>
      <c r="B303" s="24">
        <v>37</v>
      </c>
      <c r="C303" s="29">
        <f t="shared" si="10"/>
        <v>13</v>
      </c>
      <c r="D303" s="24" t="str">
        <f t="shared" si="11"/>
        <v>Mar</v>
      </c>
      <c r="G303" s="1"/>
    </row>
    <row r="304" ht="15.15" spans="1:7">
      <c r="A304" s="28">
        <v>46107</v>
      </c>
      <c r="B304" s="24">
        <v>357</v>
      </c>
      <c r="C304" s="29">
        <f t="shared" si="10"/>
        <v>13</v>
      </c>
      <c r="D304" s="24" t="str">
        <f t="shared" si="11"/>
        <v>Mar</v>
      </c>
      <c r="G304" s="1"/>
    </row>
    <row r="305" ht="15.15" spans="1:7">
      <c r="A305" s="28">
        <v>46112</v>
      </c>
      <c r="B305" s="24">
        <v>476</v>
      </c>
      <c r="C305" s="29">
        <f t="shared" si="10"/>
        <v>14</v>
      </c>
      <c r="D305" s="24" t="str">
        <f t="shared" si="11"/>
        <v>Mar</v>
      </c>
      <c r="G305" s="1"/>
    </row>
    <row r="306" ht="15.15" spans="1:7">
      <c r="A306" s="28">
        <v>46113</v>
      </c>
      <c r="B306" s="24">
        <v>51</v>
      </c>
      <c r="C306" s="29">
        <f t="shared" si="10"/>
        <v>14</v>
      </c>
      <c r="D306" s="24" t="str">
        <f t="shared" si="11"/>
        <v>Apr</v>
      </c>
      <c r="G306" s="1"/>
    </row>
    <row r="307" ht="15.15" spans="1:7">
      <c r="A307" s="28">
        <v>46114</v>
      </c>
      <c r="B307" s="24">
        <v>380</v>
      </c>
      <c r="C307" s="29">
        <f t="shared" si="10"/>
        <v>14</v>
      </c>
      <c r="D307" s="24" t="str">
        <f t="shared" si="11"/>
        <v>Apr</v>
      </c>
      <c r="G307" s="1"/>
    </row>
    <row r="308" ht="15.15" spans="1:7">
      <c r="A308" s="28">
        <v>46119</v>
      </c>
      <c r="B308" s="24">
        <v>216</v>
      </c>
      <c r="C308" s="29">
        <f t="shared" si="10"/>
        <v>15</v>
      </c>
      <c r="D308" s="24" t="str">
        <f t="shared" si="11"/>
        <v>Apr</v>
      </c>
      <c r="G308" s="1"/>
    </row>
    <row r="309" ht="15.15" spans="1:7">
      <c r="A309" s="28">
        <v>46120</v>
      </c>
      <c r="B309" s="24">
        <v>127</v>
      </c>
      <c r="C309" s="29">
        <f t="shared" si="10"/>
        <v>15</v>
      </c>
      <c r="D309" s="24" t="str">
        <f t="shared" si="11"/>
        <v>Apr</v>
      </c>
      <c r="G309" s="1"/>
    </row>
    <row r="310" ht="15.15" spans="1:7">
      <c r="A310" s="28">
        <v>46121</v>
      </c>
      <c r="B310" s="24">
        <v>300</v>
      </c>
      <c r="C310" s="29">
        <f t="shared" si="10"/>
        <v>15</v>
      </c>
      <c r="D310" s="24" t="str">
        <f t="shared" si="11"/>
        <v>Apr</v>
      </c>
      <c r="G310" s="1"/>
    </row>
    <row r="311" ht="15.15" spans="1:7">
      <c r="A311" s="28">
        <v>46122</v>
      </c>
      <c r="B311" s="24">
        <v>194</v>
      </c>
      <c r="C311" s="29">
        <f t="shared" si="10"/>
        <v>15</v>
      </c>
      <c r="D311" s="24" t="str">
        <f t="shared" si="11"/>
        <v>Apr</v>
      </c>
      <c r="G311" s="1"/>
    </row>
    <row r="312" ht="15.15" spans="1:7">
      <c r="A312" s="28">
        <v>46126</v>
      </c>
      <c r="B312" s="24">
        <v>229</v>
      </c>
      <c r="C312" s="29">
        <f t="shared" si="10"/>
        <v>16</v>
      </c>
      <c r="D312" s="24" t="str">
        <f t="shared" si="11"/>
        <v>Apr</v>
      </c>
      <c r="G312" s="1"/>
    </row>
    <row r="313" ht="15.15" spans="1:7">
      <c r="A313" s="28">
        <v>46127</v>
      </c>
      <c r="B313" s="24">
        <v>38</v>
      </c>
      <c r="C313" s="29">
        <f t="shared" si="10"/>
        <v>16</v>
      </c>
      <c r="D313" s="24" t="str">
        <f t="shared" si="11"/>
        <v>Apr</v>
      </c>
      <c r="G313" s="1"/>
    </row>
    <row r="314" ht="15.15" spans="1:7">
      <c r="A314" s="28">
        <v>46128</v>
      </c>
      <c r="B314" s="24">
        <v>298</v>
      </c>
      <c r="C314" s="29">
        <f t="shared" si="10"/>
        <v>16</v>
      </c>
      <c r="D314" s="24" t="str">
        <f t="shared" si="11"/>
        <v>Apr</v>
      </c>
      <c r="G314" s="1"/>
    </row>
    <row r="315" ht="15.15" spans="1:7">
      <c r="A315" s="28">
        <v>46129</v>
      </c>
      <c r="B315" s="24">
        <v>64</v>
      </c>
      <c r="C315" s="29">
        <f t="shared" si="10"/>
        <v>16</v>
      </c>
      <c r="D315" s="24" t="str">
        <f t="shared" si="11"/>
        <v>Apr</v>
      </c>
      <c r="G315" s="1"/>
    </row>
    <row r="316" ht="15.15" spans="1:7">
      <c r="A316" s="28">
        <v>46133</v>
      </c>
      <c r="B316" s="24">
        <v>196</v>
      </c>
      <c r="C316" s="29">
        <f t="shared" si="10"/>
        <v>17</v>
      </c>
      <c r="D316" s="24" t="str">
        <f t="shared" si="11"/>
        <v>Apr</v>
      </c>
      <c r="G316" s="1"/>
    </row>
    <row r="317" ht="15.15" spans="1:7">
      <c r="A317" s="28">
        <v>46134</v>
      </c>
      <c r="B317" s="24">
        <v>34</v>
      </c>
      <c r="C317" s="29">
        <f t="shared" si="10"/>
        <v>17</v>
      </c>
      <c r="D317" s="24" t="str">
        <f t="shared" si="11"/>
        <v>Apr</v>
      </c>
      <c r="G317" s="1"/>
    </row>
    <row r="318" ht="15.15" spans="1:7">
      <c r="A318" s="28">
        <v>46135</v>
      </c>
      <c r="B318" s="24">
        <v>257</v>
      </c>
      <c r="C318" s="29">
        <f t="shared" si="10"/>
        <v>17</v>
      </c>
      <c r="D318" s="24" t="str">
        <f t="shared" si="11"/>
        <v>Apr</v>
      </c>
      <c r="G318" s="1"/>
    </row>
    <row r="319" ht="15.15" spans="1:7">
      <c r="A319" s="28">
        <v>46136</v>
      </c>
      <c r="B319" s="24">
        <v>70</v>
      </c>
      <c r="C319" s="29">
        <f t="shared" si="10"/>
        <v>17</v>
      </c>
      <c r="D319" s="24" t="str">
        <f t="shared" si="11"/>
        <v>Apr</v>
      </c>
      <c r="G319" s="1"/>
    </row>
    <row r="320" ht="15.15" spans="1:7">
      <c r="A320" s="28">
        <v>46140</v>
      </c>
      <c r="B320" s="24">
        <v>188</v>
      </c>
      <c r="C320" s="29">
        <f t="shared" si="10"/>
        <v>18</v>
      </c>
      <c r="D320" s="24" t="str">
        <f t="shared" si="11"/>
        <v>Apr</v>
      </c>
      <c r="G320" s="1"/>
    </row>
    <row r="321" ht="15.15" spans="1:7">
      <c r="A321" s="28">
        <v>46141</v>
      </c>
      <c r="B321" s="24">
        <v>40</v>
      </c>
      <c r="C321" s="29">
        <f t="shared" si="10"/>
        <v>18</v>
      </c>
      <c r="D321" s="24" t="str">
        <f t="shared" si="11"/>
        <v>Apr</v>
      </c>
      <c r="G321" s="1"/>
    </row>
    <row r="322" ht="15.15" spans="1:7">
      <c r="A322" s="28">
        <v>46142</v>
      </c>
      <c r="B322" s="24">
        <v>412</v>
      </c>
      <c r="C322" s="29">
        <f t="shared" si="10"/>
        <v>18</v>
      </c>
      <c r="D322" s="24" t="str">
        <f t="shared" si="11"/>
        <v>Apr</v>
      </c>
      <c r="G322" s="1"/>
    </row>
    <row r="323" ht="15.15" spans="1:7">
      <c r="A323" s="28">
        <v>46143</v>
      </c>
      <c r="B323" s="24">
        <v>69</v>
      </c>
      <c r="C323" s="29">
        <f t="shared" si="10"/>
        <v>18</v>
      </c>
      <c r="D323" s="24" t="str">
        <f t="shared" si="11"/>
        <v>May</v>
      </c>
      <c r="G323" s="1"/>
    </row>
    <row r="324" ht="15.15" spans="1:7">
      <c r="A324" s="28">
        <v>46147</v>
      </c>
      <c r="B324" s="24">
        <v>188</v>
      </c>
      <c r="C324" s="29">
        <f t="shared" ref="C324:C347" si="12">WEEKNUM(A324,2)</f>
        <v>19</v>
      </c>
      <c r="D324" s="24" t="str">
        <f t="shared" ref="D324:D347" si="13">TEXT(A324,"mmm")</f>
        <v>May</v>
      </c>
      <c r="G324" s="1"/>
    </row>
    <row r="325" ht="15.15" spans="1:7">
      <c r="A325" s="28">
        <v>46148</v>
      </c>
      <c r="B325" s="24">
        <v>64</v>
      </c>
      <c r="C325" s="29">
        <f t="shared" si="12"/>
        <v>19</v>
      </c>
      <c r="D325" s="24" t="str">
        <f t="shared" si="13"/>
        <v>May</v>
      </c>
      <c r="G325" s="1"/>
    </row>
    <row r="326" ht="15.15" spans="1:7">
      <c r="A326" s="28">
        <v>46149</v>
      </c>
      <c r="B326" s="24">
        <v>167</v>
      </c>
      <c r="C326" s="29">
        <f t="shared" si="12"/>
        <v>19</v>
      </c>
      <c r="D326" s="24" t="str">
        <f t="shared" si="13"/>
        <v>May</v>
      </c>
      <c r="G326" s="1"/>
    </row>
    <row r="327" ht="15.15" spans="1:7">
      <c r="A327" s="28">
        <v>46150</v>
      </c>
      <c r="B327" s="24">
        <v>144</v>
      </c>
      <c r="C327" s="29">
        <f t="shared" si="12"/>
        <v>19</v>
      </c>
      <c r="D327" s="24" t="str">
        <f t="shared" si="13"/>
        <v>May</v>
      </c>
      <c r="G327" s="1"/>
    </row>
    <row r="328" ht="15.15" spans="1:7">
      <c r="A328" s="28">
        <v>46153</v>
      </c>
      <c r="B328" s="24">
        <v>78</v>
      </c>
      <c r="C328" s="29">
        <f t="shared" si="12"/>
        <v>20</v>
      </c>
      <c r="D328" s="24" t="str">
        <f t="shared" si="13"/>
        <v>May</v>
      </c>
      <c r="G328" s="1"/>
    </row>
    <row r="329" ht="15.15" spans="1:7">
      <c r="A329" s="28">
        <v>46154</v>
      </c>
      <c r="B329" s="24">
        <v>106</v>
      </c>
      <c r="C329" s="29">
        <f t="shared" si="12"/>
        <v>20</v>
      </c>
      <c r="D329" s="24" t="str">
        <f t="shared" si="13"/>
        <v>May</v>
      </c>
      <c r="G329" s="1"/>
    </row>
    <row r="330" ht="15.15" spans="1:7">
      <c r="A330" s="28">
        <v>46155</v>
      </c>
      <c r="B330" s="24">
        <v>59</v>
      </c>
      <c r="C330" s="29">
        <f t="shared" si="12"/>
        <v>20</v>
      </c>
      <c r="D330" s="24" t="str">
        <f t="shared" si="13"/>
        <v>May</v>
      </c>
      <c r="G330" s="1"/>
    </row>
    <row r="331" ht="15.15" spans="1:7">
      <c r="A331" s="28">
        <v>46156</v>
      </c>
      <c r="B331" s="24">
        <v>87</v>
      </c>
      <c r="C331" s="29">
        <f t="shared" si="12"/>
        <v>20</v>
      </c>
      <c r="D331" s="24" t="str">
        <f t="shared" si="13"/>
        <v>May</v>
      </c>
      <c r="G331" s="1"/>
    </row>
    <row r="332" ht="15.15" spans="1:7">
      <c r="A332" s="28">
        <v>46157</v>
      </c>
      <c r="B332" s="24">
        <v>41</v>
      </c>
      <c r="C332" s="29">
        <f t="shared" si="12"/>
        <v>20</v>
      </c>
      <c r="D332" s="24" t="str">
        <f t="shared" si="13"/>
        <v>May</v>
      </c>
      <c r="G332" s="1"/>
    </row>
    <row r="333" ht="15.15" spans="1:7">
      <c r="A333" s="28">
        <v>46161</v>
      </c>
      <c r="B333" s="24">
        <v>241</v>
      </c>
      <c r="C333" s="29">
        <f t="shared" si="12"/>
        <v>21</v>
      </c>
      <c r="D333" s="24" t="str">
        <f t="shared" si="13"/>
        <v>May</v>
      </c>
      <c r="G333" s="1"/>
    </row>
    <row r="334" ht="15.15" spans="1:7">
      <c r="A334" s="28">
        <v>46162</v>
      </c>
      <c r="B334" s="24">
        <v>51</v>
      </c>
      <c r="C334" s="29">
        <f t="shared" si="12"/>
        <v>21</v>
      </c>
      <c r="D334" s="24" t="str">
        <f t="shared" si="13"/>
        <v>May</v>
      </c>
      <c r="G334" s="1"/>
    </row>
    <row r="335" ht="15.15" spans="1:7">
      <c r="A335" s="28">
        <v>46163</v>
      </c>
      <c r="B335" s="24">
        <v>72</v>
      </c>
      <c r="C335" s="29">
        <f t="shared" si="12"/>
        <v>21</v>
      </c>
      <c r="D335" s="24" t="str">
        <f t="shared" si="13"/>
        <v>May</v>
      </c>
      <c r="G335" s="1"/>
    </row>
    <row r="336" ht="15.15" spans="1:7">
      <c r="A336" s="28">
        <v>46164</v>
      </c>
      <c r="B336" s="24">
        <v>64</v>
      </c>
      <c r="C336" s="29">
        <f t="shared" si="12"/>
        <v>21</v>
      </c>
      <c r="D336" s="24" t="str">
        <f t="shared" si="13"/>
        <v>May</v>
      </c>
      <c r="G336" s="1"/>
    </row>
    <row r="337" ht="15.15" spans="1:7">
      <c r="A337" s="28">
        <v>46168</v>
      </c>
      <c r="B337" s="24">
        <v>268</v>
      </c>
      <c r="C337" s="29">
        <f t="shared" si="12"/>
        <v>22</v>
      </c>
      <c r="D337" s="24" t="str">
        <f t="shared" si="13"/>
        <v>May</v>
      </c>
      <c r="G337" s="1"/>
    </row>
    <row r="338" ht="15.15" spans="1:7">
      <c r="A338" s="28">
        <v>46169</v>
      </c>
      <c r="B338" s="24">
        <v>29</v>
      </c>
      <c r="C338" s="29">
        <f t="shared" si="12"/>
        <v>22</v>
      </c>
      <c r="D338" s="24" t="str">
        <f t="shared" si="13"/>
        <v>May</v>
      </c>
      <c r="G338" s="1"/>
    </row>
    <row r="339" ht="15.15" spans="1:7">
      <c r="A339" s="28">
        <v>46170</v>
      </c>
      <c r="B339" s="24">
        <v>69</v>
      </c>
      <c r="C339" s="29">
        <f t="shared" si="12"/>
        <v>22</v>
      </c>
      <c r="D339" s="24" t="str">
        <f t="shared" si="13"/>
        <v>May</v>
      </c>
      <c r="G339" s="1"/>
    </row>
    <row r="340" ht="15.15" spans="1:7">
      <c r="A340" s="28">
        <v>46171</v>
      </c>
      <c r="B340" s="24">
        <v>64</v>
      </c>
      <c r="C340" s="29">
        <f t="shared" si="12"/>
        <v>22</v>
      </c>
      <c r="D340" s="24" t="str">
        <f t="shared" si="13"/>
        <v>May</v>
      </c>
      <c r="G340" s="1"/>
    </row>
    <row r="341" ht="15.15" spans="1:7">
      <c r="A341" s="28">
        <v>46175</v>
      </c>
      <c r="B341" s="24">
        <v>275</v>
      </c>
      <c r="C341" s="29">
        <f t="shared" si="12"/>
        <v>23</v>
      </c>
      <c r="D341" s="24" t="str">
        <f t="shared" si="13"/>
        <v>Jun</v>
      </c>
      <c r="G341" s="1"/>
    </row>
    <row r="342" ht="15.15" spans="1:7">
      <c r="A342" s="28">
        <v>46176</v>
      </c>
      <c r="B342" s="24">
        <v>15</v>
      </c>
      <c r="C342" s="29">
        <f t="shared" si="12"/>
        <v>23</v>
      </c>
      <c r="D342" s="24" t="str">
        <f t="shared" si="13"/>
        <v>Jun</v>
      </c>
      <c r="G342" s="1"/>
    </row>
    <row r="343" ht="15.15" spans="1:7">
      <c r="A343" s="28">
        <v>46177</v>
      </c>
      <c r="B343" s="24">
        <v>128</v>
      </c>
      <c r="C343" s="29">
        <f t="shared" si="12"/>
        <v>23</v>
      </c>
      <c r="D343" s="24" t="str">
        <f t="shared" si="13"/>
        <v>Jun</v>
      </c>
      <c r="G343" s="1"/>
    </row>
    <row r="344" ht="15.15" spans="1:7">
      <c r="A344" s="28">
        <v>46182</v>
      </c>
      <c r="B344" s="24">
        <v>240</v>
      </c>
      <c r="C344" s="29">
        <f t="shared" si="12"/>
        <v>24</v>
      </c>
      <c r="D344" s="24" t="str">
        <f t="shared" si="13"/>
        <v>Jun</v>
      </c>
      <c r="G344" s="1"/>
    </row>
    <row r="345" ht="15.15" spans="1:7">
      <c r="A345" s="28">
        <v>46183</v>
      </c>
      <c r="B345" s="24">
        <v>71</v>
      </c>
      <c r="C345" s="29">
        <f t="shared" si="12"/>
        <v>24</v>
      </c>
      <c r="D345" s="24" t="str">
        <f t="shared" si="13"/>
        <v>Jun</v>
      </c>
      <c r="G345" s="1"/>
    </row>
    <row r="346" ht="15.15" spans="1:7">
      <c r="A346" s="28">
        <v>46184</v>
      </c>
      <c r="B346" s="24">
        <v>76</v>
      </c>
      <c r="C346" s="29">
        <f t="shared" si="12"/>
        <v>24</v>
      </c>
      <c r="D346" s="24" t="str">
        <f t="shared" si="13"/>
        <v>Jun</v>
      </c>
      <c r="G346" s="1"/>
    </row>
    <row r="347" ht="15.15" spans="1:7">
      <c r="A347" s="28">
        <v>46185</v>
      </c>
      <c r="B347" s="24">
        <v>79</v>
      </c>
      <c r="C347" s="29">
        <f t="shared" si="12"/>
        <v>24</v>
      </c>
      <c r="D347" s="24" t="str">
        <f t="shared" si="13"/>
        <v>Jun</v>
      </c>
      <c r="G347" s="1"/>
    </row>
    <row r="348" spans="1:7">
      <c r="A348" s="28"/>
    </row>
    <row r="349" spans="1:7">
      <c r="A349" s="28"/>
    </row>
    <row r="350" spans="1:7">
      <c r="A350" s="28"/>
    </row>
    <row r="351" spans="1:7">
      <c r="A351" s="28"/>
    </row>
    <row r="352" spans="1:7">
      <c r="A352" s="28"/>
    </row>
    <row r="353" spans="1:1">
      <c r="A353" s="28"/>
    </row>
    <row r="354" spans="1:1">
      <c r="A354" s="28"/>
    </row>
    <row r="355" spans="1:1">
      <c r="A355" s="28"/>
    </row>
    <row r="356" spans="1:1">
      <c r="A356" s="28"/>
    </row>
    <row r="357" spans="1:1">
      <c r="A357" s="28"/>
    </row>
    <row r="358" spans="1:1">
      <c r="A358" s="28"/>
    </row>
    <row r="359" spans="1:1">
      <c r="A359" s="28"/>
    </row>
    <row r="360" spans="1:1">
      <c r="A360" s="28"/>
    </row>
    <row r="361" spans="1:1">
      <c r="A361" s="28"/>
    </row>
    <row r="362" spans="1:1">
      <c r="A362" s="28"/>
    </row>
    <row r="363" spans="1:1">
      <c r="A363" s="28"/>
    </row>
    <row r="364" spans="1:1">
      <c r="A364" s="28"/>
    </row>
    <row r="365" spans="1:1">
      <c r="A365" s="28"/>
    </row>
    <row r="366" spans="1:1">
      <c r="A366" s="28"/>
    </row>
    <row r="367" spans="1:1">
      <c r="A367" s="28"/>
    </row>
    <row r="368" spans="1:1">
      <c r="A368" s="28"/>
    </row>
    <row r="369" spans="1:1">
      <c r="A369" s="28"/>
    </row>
    <row r="370" spans="1:1">
      <c r="A370" s="28"/>
    </row>
    <row r="371" spans="1:1">
      <c r="A371" s="28"/>
    </row>
    <row r="372" spans="1:1">
      <c r="A372" s="28"/>
    </row>
    <row r="373" spans="1:1">
      <c r="A373" s="28"/>
    </row>
  </sheetData>
  <autoFilter xmlns:etc="http://www.wps.cn/officeDocument/2017/etCustomData" ref="A2:B347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227"/>
  <sheetViews>
    <sheetView topLeftCell="E11" workbookViewId="0">
      <selection activeCell="L22" sqref="L22"/>
    </sheetView>
  </sheetViews>
  <sheetFormatPr defaultColWidth="9" defaultRowHeight="14.4"/>
  <cols>
    <col min="1" max="1" width="19.712962962963" customWidth="1"/>
    <col min="2" max="2" width="36.712962962963" style="9" customWidth="1"/>
    <col min="3" max="3" width="10.712962962963" customWidth="1"/>
    <col min="4" max="4" width="15" customWidth="1"/>
    <col min="5" max="5" width="11.5740740740741" customWidth="1"/>
    <col min="6" max="6" width="15.5740740740741" customWidth="1"/>
    <col min="7" max="7" width="13.287037037037" customWidth="1"/>
    <col min="8" max="8" width="5.57407407407407" customWidth="1"/>
    <col min="9" max="9" width="2.57407407407407" customWidth="1"/>
    <col min="10" max="10" width="9.28703703703704" customWidth="1"/>
    <col min="11" max="13" width="11.712962962963" customWidth="1"/>
    <col min="14" max="14" width="24" style="10" customWidth="1"/>
    <col min="15" max="16" width="13.712962962963" style="10" customWidth="1"/>
    <col min="17" max="17" width="17" style="10" customWidth="1"/>
    <col min="18" max="18" width="17.5740740740741" style="10" customWidth="1"/>
  </cols>
  <sheetData>
    <row r="1" spans="1:18">
      <c r="B1"/>
    </row>
    <row r="2" spans="1:18">
      <c r="A2" t="s">
        <v>171</v>
      </c>
      <c r="B2" t="s">
        <v>172</v>
      </c>
    </row>
    <row r="3" spans="1:18">
      <c r="A3" t="s">
        <v>173</v>
      </c>
      <c r="B3" t="s">
        <v>174</v>
      </c>
    </row>
    <row r="4" s="8" customFormat="1" spans="1:18">
      <c r="A4"/>
      <c r="B4"/>
      <c r="C4"/>
      <c r="D4"/>
      <c r="E4"/>
      <c r="F4"/>
      <c r="N4" s="11"/>
      <c r="O4" s="11"/>
      <c r="P4" s="11"/>
      <c r="Q4" s="11"/>
      <c r="R4" s="11"/>
    </row>
    <row r="5" ht="43.2" spans="1:18">
      <c r="A5" s="8" t="s">
        <v>3</v>
      </c>
      <c r="B5" s="8" t="s">
        <v>4</v>
      </c>
      <c r="C5" s="8" t="s">
        <v>5</v>
      </c>
      <c r="D5" t="s">
        <v>6</v>
      </c>
      <c r="E5" s="8" t="s">
        <v>7</v>
      </c>
      <c r="F5" s="8" t="s">
        <v>8</v>
      </c>
      <c r="G5" s="8" t="s">
        <v>9</v>
      </c>
      <c r="H5" s="8" t="s">
        <v>11</v>
      </c>
      <c r="I5" s="12" t="s">
        <v>175</v>
      </c>
      <c r="J5" s="13" t="s">
        <v>29</v>
      </c>
      <c r="K5" s="14"/>
      <c r="L5" s="14"/>
      <c r="M5" s="14"/>
      <c r="N5" s="15" t="s">
        <v>176</v>
      </c>
      <c r="O5" s="15" t="s">
        <v>177</v>
      </c>
      <c r="P5" s="15" t="s">
        <v>178</v>
      </c>
      <c r="Q5" s="15" t="s">
        <v>179</v>
      </c>
      <c r="R5" s="15" t="s">
        <v>180</v>
      </c>
    </row>
    <row r="6" spans="1:18">
      <c r="A6" s="16" t="s">
        <v>72</v>
      </c>
      <c r="B6" s="16" t="s">
        <v>73</v>
      </c>
      <c r="C6" s="16" t="s">
        <v>26</v>
      </c>
      <c r="D6" s="17">
        <v>46205</v>
      </c>
      <c r="E6" s="18">
        <v>23000</v>
      </c>
      <c r="F6" s="19">
        <v>9.71014492753623</v>
      </c>
      <c r="G6" s="18">
        <v>220142.857142857</v>
      </c>
      <c r="H6" s="18" t="s">
        <v>29</v>
      </c>
      <c r="I6" t="s">
        <v>181</v>
      </c>
      <c r="J6" s="20">
        <f>+F6-0.4</f>
        <v>9.31014492753623</v>
      </c>
      <c r="K6" s="20"/>
      <c r="L6" s="20"/>
      <c r="M6" s="20"/>
      <c r="N6" s="21">
        <v>4</v>
      </c>
      <c r="O6" s="21" t="s">
        <v>182</v>
      </c>
      <c r="P6" s="21"/>
      <c r="Q6" s="21"/>
      <c r="R6" s="21"/>
    </row>
    <row r="7" spans="1:18">
      <c r="A7" s="16" t="s">
        <v>24</v>
      </c>
      <c r="B7" s="16" t="s">
        <v>25</v>
      </c>
      <c r="C7" s="16" t="s">
        <v>26</v>
      </c>
      <c r="D7" s="16" t="s">
        <v>27</v>
      </c>
      <c r="E7" s="18">
        <v>25000</v>
      </c>
      <c r="F7" s="19">
        <v>10.1449275362319</v>
      </c>
      <c r="G7" s="18">
        <v>250000</v>
      </c>
      <c r="H7" s="18" t="s">
        <v>29</v>
      </c>
      <c r="I7" t="s">
        <v>181</v>
      </c>
      <c r="J7" s="20">
        <f>+F7-0.4</f>
        <v>9.74492753623188</v>
      </c>
      <c r="K7" s="20"/>
      <c r="L7" s="20"/>
      <c r="M7" s="20"/>
      <c r="N7" s="21">
        <v>3</v>
      </c>
      <c r="O7" s="21" t="s">
        <v>183</v>
      </c>
      <c r="P7" s="22">
        <v>3</v>
      </c>
      <c r="Q7" s="21" t="s">
        <v>184</v>
      </c>
      <c r="R7" s="21"/>
    </row>
    <row r="8" spans="1:18">
      <c r="A8" s="16" t="s">
        <v>30</v>
      </c>
      <c r="B8" s="16" t="s">
        <v>25</v>
      </c>
      <c r="C8" s="16" t="s">
        <v>26</v>
      </c>
      <c r="D8" s="16" t="s">
        <v>27</v>
      </c>
      <c r="E8" s="18">
        <v>25000</v>
      </c>
      <c r="F8" s="19">
        <v>10.1449275362319</v>
      </c>
      <c r="G8" s="18">
        <v>250000</v>
      </c>
      <c r="H8" s="18" t="s">
        <v>29</v>
      </c>
      <c r="I8" t="s">
        <v>181</v>
      </c>
      <c r="J8" s="20">
        <f t="shared" ref="J8:J18" si="0">+F8-0.4</f>
        <v>9.74492753623188</v>
      </c>
      <c r="K8" s="20"/>
      <c r="L8" s="20"/>
      <c r="M8" s="20"/>
      <c r="N8" s="21">
        <v>2</v>
      </c>
      <c r="O8" s="21" t="s">
        <v>183</v>
      </c>
      <c r="P8" s="23">
        <v>1.5</v>
      </c>
      <c r="Q8" s="21" t="s">
        <v>185</v>
      </c>
      <c r="R8" s="21"/>
    </row>
    <row r="9" spans="1:18">
      <c r="A9" s="16" t="s">
        <v>31</v>
      </c>
      <c r="B9" s="16" t="s">
        <v>32</v>
      </c>
      <c r="C9" s="16" t="s">
        <v>26</v>
      </c>
      <c r="D9" s="16" t="s">
        <v>27</v>
      </c>
      <c r="E9" s="18">
        <v>22000</v>
      </c>
      <c r="F9" s="19">
        <v>9.71014492753623</v>
      </c>
      <c r="G9" s="18">
        <v>210571.428571429</v>
      </c>
      <c r="H9" s="18" t="s">
        <v>29</v>
      </c>
      <c r="I9" t="s">
        <v>181</v>
      </c>
      <c r="J9" s="20">
        <f t="shared" si="0"/>
        <v>9.31014492753623</v>
      </c>
      <c r="K9" s="20"/>
      <c r="L9" s="20"/>
      <c r="M9" s="20"/>
      <c r="N9" s="21">
        <v>1</v>
      </c>
      <c r="O9" s="21" t="s">
        <v>181</v>
      </c>
      <c r="P9" s="23">
        <v>0.8</v>
      </c>
      <c r="Q9" s="21" t="s">
        <v>186</v>
      </c>
      <c r="R9" s="21"/>
    </row>
    <row r="10" spans="1:18">
      <c r="A10" s="16" t="s">
        <v>74</v>
      </c>
      <c r="B10" s="16" t="s">
        <v>32</v>
      </c>
      <c r="C10" s="16" t="s">
        <v>26</v>
      </c>
      <c r="D10" s="16" t="s">
        <v>27</v>
      </c>
      <c r="E10" s="18">
        <v>25000</v>
      </c>
      <c r="F10" s="19">
        <v>10.0724637681159</v>
      </c>
      <c r="G10" s="18">
        <v>248214.285714286</v>
      </c>
      <c r="H10" s="18" t="s">
        <v>29</v>
      </c>
      <c r="I10" t="s">
        <v>181</v>
      </c>
      <c r="J10" s="20">
        <f t="shared" si="0"/>
        <v>9.67246376811594</v>
      </c>
      <c r="K10" s="20"/>
      <c r="L10" s="20"/>
      <c r="M10" s="20"/>
      <c r="N10" s="21">
        <v>5</v>
      </c>
      <c r="O10" s="21" t="s">
        <v>187</v>
      </c>
      <c r="P10" s="23">
        <v>0.8</v>
      </c>
      <c r="Q10" s="21" t="s">
        <v>188</v>
      </c>
      <c r="R10" s="21"/>
    </row>
    <row r="11" spans="1:18">
      <c r="A11" s="16" t="s">
        <v>33</v>
      </c>
      <c r="B11" s="16" t="s">
        <v>32</v>
      </c>
      <c r="C11" s="16" t="s">
        <v>26</v>
      </c>
      <c r="D11" s="16" t="s">
        <v>27</v>
      </c>
      <c r="E11" s="18">
        <v>25000</v>
      </c>
      <c r="F11" s="19">
        <v>10.0724637681159</v>
      </c>
      <c r="G11" s="18">
        <v>248214.285714286</v>
      </c>
      <c r="H11" s="18" t="s">
        <v>29</v>
      </c>
      <c r="I11" t="s">
        <v>181</v>
      </c>
      <c r="J11" s="20">
        <f t="shared" si="0"/>
        <v>9.67246376811594</v>
      </c>
      <c r="K11" s="20"/>
      <c r="L11" s="20"/>
      <c r="M11" s="20"/>
      <c r="N11" s="21">
        <v>6</v>
      </c>
      <c r="O11" s="21" t="s">
        <v>187</v>
      </c>
      <c r="P11" s="21"/>
      <c r="Q11" s="21"/>
      <c r="R11" s="21"/>
    </row>
    <row r="12" spans="1:18">
      <c r="A12" s="16" t="s">
        <v>75</v>
      </c>
      <c r="B12" s="16" t="s">
        <v>76</v>
      </c>
      <c r="C12" s="16" t="s">
        <v>77</v>
      </c>
      <c r="D12" s="17">
        <v>46202</v>
      </c>
      <c r="E12" s="18">
        <v>15503.2</v>
      </c>
      <c r="F12" s="19">
        <v>9.71014492753623</v>
      </c>
      <c r="G12" s="18">
        <v>148387.771428571</v>
      </c>
      <c r="H12" s="18" t="s">
        <v>29</v>
      </c>
      <c r="I12" t="s">
        <v>182</v>
      </c>
      <c r="J12" s="20">
        <f t="shared" si="0"/>
        <v>9.31014492753623</v>
      </c>
      <c r="K12" s="20"/>
      <c r="L12" s="20"/>
      <c r="M12" s="20"/>
      <c r="N12" s="21">
        <v>7</v>
      </c>
      <c r="O12" s="21" t="s">
        <v>187</v>
      </c>
      <c r="P12" s="21"/>
      <c r="Q12" s="21"/>
      <c r="R12" s="21"/>
    </row>
    <row r="13" spans="1:18">
      <c r="A13" s="16" t="s">
        <v>34</v>
      </c>
      <c r="B13" s="16" t="s">
        <v>35</v>
      </c>
      <c r="C13" s="16" t="s">
        <v>36</v>
      </c>
      <c r="D13" s="16" t="s">
        <v>27</v>
      </c>
      <c r="E13" s="18">
        <v>24999</v>
      </c>
      <c r="F13" s="19">
        <v>10</v>
      </c>
      <c r="G13" s="18">
        <v>246418.714285714</v>
      </c>
      <c r="H13" s="18" t="s">
        <v>29</v>
      </c>
      <c r="I13" t="s">
        <v>181</v>
      </c>
      <c r="J13" s="20">
        <f t="shared" si="0"/>
        <v>9.6</v>
      </c>
      <c r="K13" s="20"/>
      <c r="L13" s="20"/>
      <c r="M13" s="20"/>
      <c r="N13" s="21">
        <v>13</v>
      </c>
      <c r="O13" s="21" t="s">
        <v>187</v>
      </c>
      <c r="P13" s="21"/>
      <c r="Q13" s="21"/>
      <c r="R13" s="21"/>
    </row>
    <row r="14" spans="1:18">
      <c r="A14" s="16" t="s">
        <v>37</v>
      </c>
      <c r="B14" s="16" t="s">
        <v>35</v>
      </c>
      <c r="C14" s="16" t="s">
        <v>36</v>
      </c>
      <c r="D14" s="16" t="s">
        <v>27</v>
      </c>
      <c r="E14" s="18">
        <v>24999</v>
      </c>
      <c r="F14" s="19">
        <v>10</v>
      </c>
      <c r="G14" s="18">
        <v>246418.714285714</v>
      </c>
      <c r="H14" s="18" t="s">
        <v>29</v>
      </c>
      <c r="I14" t="s">
        <v>181</v>
      </c>
      <c r="J14" s="20">
        <f t="shared" si="0"/>
        <v>9.6</v>
      </c>
      <c r="K14" s="20"/>
      <c r="L14" s="20"/>
      <c r="M14" s="20"/>
      <c r="N14" s="21">
        <v>9</v>
      </c>
      <c r="O14" s="21" t="s">
        <v>187</v>
      </c>
      <c r="P14" s="21"/>
      <c r="Q14" s="21"/>
      <c r="R14" s="21"/>
    </row>
    <row r="15" spans="1:18">
      <c r="A15" s="16" t="s">
        <v>38</v>
      </c>
      <c r="B15" s="16" t="s">
        <v>39</v>
      </c>
      <c r="C15" s="16" t="s">
        <v>36</v>
      </c>
      <c r="D15" s="16" t="s">
        <v>27</v>
      </c>
      <c r="E15" s="18">
        <v>24999</v>
      </c>
      <c r="F15" s="19">
        <v>10</v>
      </c>
      <c r="G15" s="18">
        <v>246418.714285714</v>
      </c>
      <c r="H15" s="18" t="s">
        <v>29</v>
      </c>
      <c r="I15" t="s">
        <v>181</v>
      </c>
      <c r="J15" s="20">
        <f t="shared" si="0"/>
        <v>9.6</v>
      </c>
      <c r="K15" s="20"/>
      <c r="L15" s="20"/>
      <c r="M15" s="20"/>
      <c r="N15" s="21"/>
      <c r="O15" s="21"/>
      <c r="P15" s="21"/>
      <c r="Q15" s="21"/>
      <c r="R15" s="21"/>
    </row>
    <row r="16" spans="1:18">
      <c r="A16" s="16" t="s">
        <v>40</v>
      </c>
      <c r="B16" s="16" t="s">
        <v>35</v>
      </c>
      <c r="C16" s="16" t="s">
        <v>36</v>
      </c>
      <c r="D16" s="16" t="s">
        <v>27</v>
      </c>
      <c r="E16" s="18">
        <v>17000</v>
      </c>
      <c r="F16" s="19">
        <v>10.2898550724638</v>
      </c>
      <c r="G16" s="18">
        <v>172428.571428571</v>
      </c>
      <c r="H16" s="18" t="s">
        <v>29</v>
      </c>
      <c r="I16" t="s">
        <v>181</v>
      </c>
      <c r="J16" s="20">
        <f t="shared" si="0"/>
        <v>9.88985507246377</v>
      </c>
      <c r="K16" s="20"/>
      <c r="L16" s="20"/>
      <c r="M16" s="20"/>
      <c r="N16" s="21"/>
      <c r="O16" s="21"/>
      <c r="P16" s="21"/>
      <c r="Q16" s="21"/>
      <c r="R16" s="21"/>
    </row>
    <row r="17" spans="1:18">
      <c r="A17" s="16" t="s">
        <v>43</v>
      </c>
      <c r="B17" s="16" t="s">
        <v>39</v>
      </c>
      <c r="C17" s="16" t="s">
        <v>26</v>
      </c>
      <c r="D17" s="16" t="s">
        <v>27</v>
      </c>
      <c r="E17" s="18">
        <v>25000</v>
      </c>
      <c r="F17" s="19">
        <v>9.85507246376812</v>
      </c>
      <c r="G17" s="18">
        <v>242857.142857143</v>
      </c>
      <c r="H17" s="18" t="s">
        <v>29</v>
      </c>
      <c r="I17" t="s">
        <v>181</v>
      </c>
      <c r="J17" s="20">
        <f t="shared" si="0"/>
        <v>9.45507246376812</v>
      </c>
      <c r="K17" s="20"/>
      <c r="L17" s="20"/>
      <c r="M17" s="20"/>
      <c r="N17" s="21"/>
      <c r="O17" s="21"/>
      <c r="P17" s="21"/>
      <c r="Q17" s="21"/>
      <c r="R17" s="21"/>
    </row>
    <row r="18" spans="1:18">
      <c r="A18" s="16" t="s">
        <v>44</v>
      </c>
      <c r="B18" s="16" t="s">
        <v>39</v>
      </c>
      <c r="C18" s="16" t="s">
        <v>26</v>
      </c>
      <c r="D18" s="16" t="s">
        <v>27</v>
      </c>
      <c r="E18" s="18">
        <v>25000</v>
      </c>
      <c r="F18" s="19">
        <v>9.85507246376812</v>
      </c>
      <c r="G18" s="18">
        <v>242857.142857143</v>
      </c>
      <c r="H18" s="18" t="s">
        <v>29</v>
      </c>
      <c r="I18" t="s">
        <v>181</v>
      </c>
      <c r="J18" s="20">
        <f t="shared" si="0"/>
        <v>9.45507246376812</v>
      </c>
      <c r="K18" s="20"/>
      <c r="L18" s="20"/>
      <c r="M18" s="20"/>
      <c r="N18" s="21"/>
      <c r="O18" s="21"/>
      <c r="P18" s="21"/>
      <c r="Q18" s="21"/>
      <c r="R18" s="21"/>
    </row>
    <row r="19" spans="1:18">
      <c r="A19" s="16" t="s">
        <v>189</v>
      </c>
      <c r="B19" s="16" t="s">
        <v>190</v>
      </c>
      <c r="C19" s="16" t="s">
        <v>36</v>
      </c>
      <c r="D19" s="16" t="s">
        <v>27</v>
      </c>
      <c r="E19" s="18">
        <v>24999</v>
      </c>
      <c r="F19" s="19">
        <v>8.4</v>
      </c>
      <c r="G19" s="18">
        <v>209991.6</v>
      </c>
      <c r="H19" s="18" t="s">
        <v>48</v>
      </c>
      <c r="I19" t="s">
        <v>182</v>
      </c>
      <c r="J19" s="1" t="s">
        <v>48</v>
      </c>
      <c r="K19" s="1"/>
      <c r="L19" s="1"/>
      <c r="M19" s="1"/>
      <c r="N19" s="21"/>
      <c r="O19" s="21"/>
      <c r="P19" s="21"/>
      <c r="Q19" s="21"/>
      <c r="R19" s="21"/>
    </row>
    <row r="20" spans="1:18">
      <c r="A20" s="16" t="s">
        <v>78</v>
      </c>
      <c r="B20" s="16" t="s">
        <v>46</v>
      </c>
      <c r="C20" s="16" t="s">
        <v>47</v>
      </c>
      <c r="D20" s="16" t="s">
        <v>27</v>
      </c>
      <c r="E20" s="18">
        <v>25000</v>
      </c>
      <c r="F20" s="19">
        <v>6.85</v>
      </c>
      <c r="G20" s="18">
        <v>171250</v>
      </c>
      <c r="H20" s="18" t="s">
        <v>48</v>
      </c>
      <c r="I20" t="s">
        <v>181</v>
      </c>
      <c r="J20" s="1" t="s">
        <v>48</v>
      </c>
      <c r="K20" s="1"/>
      <c r="L20" s="1"/>
      <c r="M20" s="1"/>
    </row>
    <row r="21" spans="1:18">
      <c r="A21" s="16" t="s">
        <v>45</v>
      </c>
      <c r="B21" s="16" t="s">
        <v>46</v>
      </c>
      <c r="C21" s="16" t="s">
        <v>47</v>
      </c>
      <c r="D21" s="16" t="s">
        <v>27</v>
      </c>
      <c r="E21" s="18">
        <v>25000</v>
      </c>
      <c r="F21" s="19">
        <v>6.85</v>
      </c>
      <c r="G21" s="18">
        <v>171250</v>
      </c>
      <c r="H21" s="18" t="s">
        <v>48</v>
      </c>
      <c r="I21" t="s">
        <v>181</v>
      </c>
      <c r="J21" s="1" t="s">
        <v>48</v>
      </c>
      <c r="K21" s="1"/>
      <c r="L21" s="1"/>
      <c r="M21" s="1"/>
    </row>
    <row r="22" spans="1:18">
      <c r="A22" s="16" t="s">
        <v>87</v>
      </c>
      <c r="B22" s="16" t="s">
        <v>46</v>
      </c>
      <c r="C22" s="16" t="s">
        <v>47</v>
      </c>
      <c r="D22" s="16" t="s">
        <v>27</v>
      </c>
      <c r="E22" s="18">
        <v>25000</v>
      </c>
      <c r="F22" s="19">
        <v>6.85</v>
      </c>
      <c r="G22" s="18">
        <v>171250</v>
      </c>
      <c r="H22" s="18" t="s">
        <v>48</v>
      </c>
      <c r="I22" t="s">
        <v>181</v>
      </c>
      <c r="J22" s="1" t="s">
        <v>48</v>
      </c>
      <c r="K22" s="1"/>
      <c r="L22" s="1"/>
      <c r="M22" s="1"/>
      <c r="N22" s="10" t="s">
        <v>191</v>
      </c>
      <c r="O22" s="10" t="s">
        <v>192</v>
      </c>
    </row>
    <row r="23" spans="1:18">
      <c r="A23" s="16" t="s">
        <v>49</v>
      </c>
      <c r="B23" s="16" t="s">
        <v>46</v>
      </c>
      <c r="C23" s="16" t="s">
        <v>47</v>
      </c>
      <c r="D23" s="16" t="s">
        <v>27</v>
      </c>
      <c r="E23" s="18">
        <v>25000</v>
      </c>
      <c r="F23" s="19">
        <v>6.85</v>
      </c>
      <c r="G23" s="18">
        <v>171250</v>
      </c>
      <c r="H23" s="18" t="s">
        <v>48</v>
      </c>
      <c r="I23" t="s">
        <v>181</v>
      </c>
      <c r="J23" s="1" t="s">
        <v>48</v>
      </c>
      <c r="K23" s="1"/>
      <c r="L23" s="1"/>
      <c r="M23" s="1"/>
      <c r="N23" s="10" t="s">
        <v>193</v>
      </c>
      <c r="O23" s="10" t="s">
        <v>194</v>
      </c>
    </row>
    <row r="24" spans="1:18">
      <c r="A24" s="16" t="s">
        <v>50</v>
      </c>
      <c r="B24" s="16" t="s">
        <v>46</v>
      </c>
      <c r="C24" s="16" t="s">
        <v>47</v>
      </c>
      <c r="D24" s="16" t="s">
        <v>27</v>
      </c>
      <c r="E24" s="18">
        <v>25000</v>
      </c>
      <c r="F24" s="19">
        <v>6.85</v>
      </c>
      <c r="G24" s="18">
        <v>171250</v>
      </c>
      <c r="H24" s="18" t="s">
        <v>48</v>
      </c>
      <c r="I24" t="s">
        <v>181</v>
      </c>
      <c r="J24" s="1" t="s">
        <v>48</v>
      </c>
      <c r="K24" s="1"/>
      <c r="L24" s="1"/>
      <c r="M24" s="1"/>
      <c r="N24" s="10" t="s">
        <v>195</v>
      </c>
      <c r="O24" s="10" t="s">
        <v>196</v>
      </c>
    </row>
    <row r="25" spans="1:18">
      <c r="A25" s="16" t="s">
        <v>51</v>
      </c>
      <c r="B25" s="16" t="s">
        <v>46</v>
      </c>
      <c r="C25" s="16" t="s">
        <v>47</v>
      </c>
      <c r="D25" s="16" t="s">
        <v>27</v>
      </c>
      <c r="E25" s="18">
        <v>25000</v>
      </c>
      <c r="F25" s="19">
        <v>6.85</v>
      </c>
      <c r="G25" s="18">
        <v>171250</v>
      </c>
      <c r="H25" s="18" t="s">
        <v>48</v>
      </c>
      <c r="I25" t="s">
        <v>181</v>
      </c>
      <c r="J25" s="1" t="s">
        <v>48</v>
      </c>
      <c r="K25" s="1"/>
      <c r="L25" s="1"/>
      <c r="M25" s="1"/>
      <c r="N25" s="10" t="s">
        <v>197</v>
      </c>
      <c r="O25" s="10" t="s">
        <v>198</v>
      </c>
    </row>
    <row r="26" spans="1:18">
      <c r="A26" s="16" t="s">
        <v>52</v>
      </c>
      <c r="B26" s="16" t="s">
        <v>46</v>
      </c>
      <c r="C26" s="16" t="s">
        <v>47</v>
      </c>
      <c r="D26" s="16" t="s">
        <v>27</v>
      </c>
      <c r="E26" s="18">
        <v>25000</v>
      </c>
      <c r="F26" s="19">
        <v>6.85</v>
      </c>
      <c r="G26" s="18">
        <v>171250</v>
      </c>
      <c r="H26" s="18" t="s">
        <v>48</v>
      </c>
      <c r="I26" t="s">
        <v>181</v>
      </c>
      <c r="J26" s="1" t="s">
        <v>48</v>
      </c>
      <c r="K26" s="1"/>
      <c r="L26" s="1"/>
      <c r="M26" s="1"/>
      <c r="N26" s="10" t="s">
        <v>199</v>
      </c>
      <c r="O26" s="10" t="s">
        <v>200</v>
      </c>
    </row>
    <row r="27" spans="1:18">
      <c r="A27" s="16" t="s">
        <v>53</v>
      </c>
      <c r="B27" s="16" t="s">
        <v>54</v>
      </c>
      <c r="C27" s="16" t="s">
        <v>36</v>
      </c>
      <c r="D27" s="16" t="s">
        <v>27</v>
      </c>
      <c r="E27" s="18">
        <v>24999</v>
      </c>
      <c r="F27" s="19">
        <v>9.5</v>
      </c>
      <c r="G27" s="18">
        <v>237490.5</v>
      </c>
      <c r="H27" s="18" t="s">
        <v>48</v>
      </c>
      <c r="I27" t="s">
        <v>183</v>
      </c>
      <c r="J27" s="1" t="s">
        <v>48</v>
      </c>
      <c r="K27" s="1"/>
      <c r="L27" s="1"/>
      <c r="M27" s="1"/>
      <c r="N27" s="10" t="s">
        <v>201</v>
      </c>
      <c r="O27" s="10" t="s">
        <v>202</v>
      </c>
    </row>
    <row r="28" spans="1:18">
      <c r="A28" s="16" t="s">
        <v>79</v>
      </c>
      <c r="B28" s="16" t="s">
        <v>46</v>
      </c>
      <c r="C28" s="16" t="s">
        <v>56</v>
      </c>
      <c r="D28" s="17">
        <v>46206</v>
      </c>
      <c r="E28" s="18">
        <v>17000</v>
      </c>
      <c r="F28" s="19">
        <v>11.5</v>
      </c>
      <c r="G28" s="18">
        <v>195500</v>
      </c>
      <c r="H28" s="18" t="s">
        <v>48</v>
      </c>
      <c r="I28" t="s">
        <v>183</v>
      </c>
      <c r="J28" s="1" t="s">
        <v>48</v>
      </c>
      <c r="K28" s="1"/>
      <c r="L28" s="1"/>
      <c r="M28" s="1"/>
    </row>
    <row r="29" spans="1:18">
      <c r="A29" s="16" t="s">
        <v>55</v>
      </c>
      <c r="B29" s="16" t="s">
        <v>54</v>
      </c>
      <c r="C29" s="16" t="s">
        <v>56</v>
      </c>
      <c r="D29" s="16" t="s">
        <v>27</v>
      </c>
      <c r="E29" s="18">
        <v>17000</v>
      </c>
      <c r="F29" s="19">
        <v>11.6</v>
      </c>
      <c r="G29" s="18">
        <v>197200</v>
      </c>
      <c r="H29" s="18" t="s">
        <v>48</v>
      </c>
      <c r="I29" t="s">
        <v>181</v>
      </c>
      <c r="J29" s="1" t="s">
        <v>48</v>
      </c>
      <c r="K29" s="1"/>
      <c r="L29" s="1"/>
      <c r="M29" s="1"/>
    </row>
    <row r="30" spans="1:18">
      <c r="A30" s="16" t="s">
        <v>57</v>
      </c>
      <c r="B30" s="16" t="s">
        <v>54</v>
      </c>
      <c r="C30" s="16" t="s">
        <v>56</v>
      </c>
      <c r="D30" s="16" t="s">
        <v>27</v>
      </c>
      <c r="E30" s="18">
        <v>17000</v>
      </c>
      <c r="F30" s="19">
        <v>11.6</v>
      </c>
      <c r="G30" s="18">
        <v>197200</v>
      </c>
      <c r="H30" s="18" t="s">
        <v>48</v>
      </c>
      <c r="I30" t="s">
        <v>181</v>
      </c>
      <c r="J30" s="1" t="s">
        <v>48</v>
      </c>
      <c r="K30" s="1"/>
      <c r="L30" s="1"/>
      <c r="M30" s="1"/>
    </row>
    <row r="31" spans="1:18">
      <c r="A31" s="16" t="s">
        <v>58</v>
      </c>
      <c r="B31" s="16" t="s">
        <v>46</v>
      </c>
      <c r="C31" s="16" t="s">
        <v>36</v>
      </c>
      <c r="D31" s="16" t="s">
        <v>27</v>
      </c>
      <c r="E31" s="18">
        <v>25000</v>
      </c>
      <c r="F31" s="19">
        <v>9.8</v>
      </c>
      <c r="G31" s="18">
        <v>245000</v>
      </c>
      <c r="H31" s="18" t="s">
        <v>48</v>
      </c>
      <c r="I31" t="s">
        <v>181</v>
      </c>
      <c r="J31" s="1" t="s">
        <v>48</v>
      </c>
      <c r="K31" s="1"/>
      <c r="L31" s="1"/>
      <c r="M31" s="1"/>
    </row>
    <row r="32" spans="1:18">
      <c r="A32" s="16" t="s">
        <v>80</v>
      </c>
      <c r="B32" s="16" t="s">
        <v>81</v>
      </c>
      <c r="C32" s="16" t="s">
        <v>47</v>
      </c>
      <c r="D32" s="16" t="s">
        <v>27</v>
      </c>
      <c r="E32" s="18">
        <v>25000</v>
      </c>
      <c r="F32" s="19">
        <v>6.65</v>
      </c>
      <c r="G32" s="18">
        <v>166250</v>
      </c>
      <c r="H32" s="18" t="s">
        <v>48</v>
      </c>
      <c r="I32" t="s">
        <v>181</v>
      </c>
      <c r="J32" s="1" t="s">
        <v>48</v>
      </c>
      <c r="K32" s="1"/>
      <c r="L32" s="1"/>
      <c r="M32" s="1"/>
    </row>
    <row r="33" spans="1:13">
      <c r="A33" s="16" t="s">
        <v>91</v>
      </c>
      <c r="B33" s="16" t="s">
        <v>81</v>
      </c>
      <c r="C33" s="16" t="s">
        <v>47</v>
      </c>
      <c r="D33" s="16" t="s">
        <v>27</v>
      </c>
      <c r="E33" s="18">
        <v>25000</v>
      </c>
      <c r="F33" s="19">
        <v>6.65</v>
      </c>
      <c r="G33" s="18">
        <v>166250</v>
      </c>
      <c r="H33" s="18" t="s">
        <v>48</v>
      </c>
      <c r="I33" t="s">
        <v>181</v>
      </c>
      <c r="J33" s="1" t="s">
        <v>48</v>
      </c>
      <c r="K33" s="1"/>
      <c r="L33" s="1"/>
      <c r="M33" s="1"/>
    </row>
    <row r="34" spans="1:13">
      <c r="A34" s="16" t="s">
        <v>59</v>
      </c>
      <c r="B34" s="16" t="s">
        <v>60</v>
      </c>
      <c r="C34" s="16" t="s">
        <v>36</v>
      </c>
      <c r="D34" s="16" t="s">
        <v>27</v>
      </c>
      <c r="E34" s="18">
        <v>24000</v>
      </c>
      <c r="F34" s="19">
        <v>9.65</v>
      </c>
      <c r="G34" s="18">
        <v>231600</v>
      </c>
      <c r="H34" s="18" t="s">
        <v>48</v>
      </c>
      <c r="I34" t="s">
        <v>183</v>
      </c>
      <c r="J34" s="1" t="s">
        <v>48</v>
      </c>
      <c r="K34" s="1"/>
      <c r="L34" s="1"/>
      <c r="M34" s="1"/>
    </row>
    <row r="35" spans="1:13">
      <c r="A35" s="16" t="s">
        <v>82</v>
      </c>
      <c r="B35" s="16" t="s">
        <v>83</v>
      </c>
      <c r="C35" s="16" t="s">
        <v>56</v>
      </c>
      <c r="D35" s="17">
        <v>46206</v>
      </c>
      <c r="E35" s="18">
        <v>10000</v>
      </c>
      <c r="F35" s="19">
        <v>11</v>
      </c>
      <c r="G35" s="18">
        <v>110000</v>
      </c>
      <c r="H35" s="18" t="s">
        <v>48</v>
      </c>
      <c r="I35" t="s">
        <v>181</v>
      </c>
      <c r="J35" s="1" t="s">
        <v>48</v>
      </c>
      <c r="K35" s="1"/>
      <c r="L35" s="1"/>
      <c r="M35" s="1"/>
    </row>
    <row r="36" spans="1:13">
      <c r="A36" s="16" t="s">
        <v>84</v>
      </c>
      <c r="B36" s="16" t="s">
        <v>60</v>
      </c>
      <c r="C36" s="16" t="s">
        <v>36</v>
      </c>
      <c r="D36" s="16" t="s">
        <v>27</v>
      </c>
      <c r="E36" s="18">
        <v>24000</v>
      </c>
      <c r="F36" s="19">
        <v>9.75</v>
      </c>
      <c r="G36" s="18">
        <v>234000</v>
      </c>
      <c r="H36" s="18" t="s">
        <v>48</v>
      </c>
      <c r="I36" t="s">
        <v>181</v>
      </c>
      <c r="J36" s="1" t="s">
        <v>48</v>
      </c>
      <c r="K36" s="1"/>
      <c r="L36" s="1"/>
      <c r="M36" s="1"/>
    </row>
    <row r="37" spans="1:13">
      <c r="A37" s="16" t="s">
        <v>85</v>
      </c>
      <c r="B37" s="16" t="s">
        <v>60</v>
      </c>
      <c r="C37" s="16" t="s">
        <v>36</v>
      </c>
      <c r="D37" s="16" t="s">
        <v>27</v>
      </c>
      <c r="E37" s="18">
        <v>24000</v>
      </c>
      <c r="F37" s="19">
        <v>9.75</v>
      </c>
      <c r="G37" s="18">
        <v>234000</v>
      </c>
      <c r="H37" s="18" t="s">
        <v>48</v>
      </c>
      <c r="I37" t="s">
        <v>181</v>
      </c>
      <c r="J37" s="1" t="s">
        <v>48</v>
      </c>
      <c r="K37" s="1"/>
      <c r="L37" s="1"/>
      <c r="M37" s="1"/>
    </row>
    <row r="38" spans="1:13">
      <c r="A38" s="16" t="s">
        <v>61</v>
      </c>
      <c r="B38" s="16" t="s">
        <v>35</v>
      </c>
      <c r="C38" s="16" t="s">
        <v>36</v>
      </c>
      <c r="D38" s="16" t="s">
        <v>27</v>
      </c>
      <c r="E38" s="18">
        <v>16000</v>
      </c>
      <c r="F38" s="19">
        <v>10.0724637681159</v>
      </c>
      <c r="G38" s="18">
        <v>158857.142857143</v>
      </c>
      <c r="H38" s="18" t="s">
        <v>29</v>
      </c>
      <c r="I38" t="s">
        <v>181</v>
      </c>
      <c r="J38" s="20">
        <f>+F38-0.4</f>
        <v>9.67246376811594</v>
      </c>
      <c r="K38" s="20"/>
      <c r="L38" s="20"/>
      <c r="M38" s="20"/>
    </row>
    <row r="39" spans="1:13">
      <c r="A39" s="16" t="s">
        <v>62</v>
      </c>
      <c r="B39" s="16" t="s">
        <v>35</v>
      </c>
      <c r="C39" s="16" t="s">
        <v>36</v>
      </c>
      <c r="D39" s="16" t="s">
        <v>27</v>
      </c>
      <c r="E39" s="18">
        <v>16000</v>
      </c>
      <c r="F39" s="19">
        <v>10.1449275362319</v>
      </c>
      <c r="G39" s="18">
        <v>160000</v>
      </c>
      <c r="H39" s="18" t="s">
        <v>29</v>
      </c>
      <c r="I39" t="s">
        <v>181</v>
      </c>
      <c r="J39" s="20">
        <f>+F39-0.4</f>
        <v>9.74492753623188</v>
      </c>
      <c r="K39" s="20"/>
      <c r="L39" s="20"/>
      <c r="M39" s="20"/>
    </row>
    <row r="40" spans="1:13">
      <c r="A40" s="16" t="s">
        <v>63</v>
      </c>
      <c r="B40" s="16" t="s">
        <v>60</v>
      </c>
      <c r="C40" s="16" t="s">
        <v>36</v>
      </c>
      <c r="D40" s="16" t="s">
        <v>27</v>
      </c>
      <c r="E40" s="18">
        <v>24000</v>
      </c>
      <c r="F40" s="19">
        <v>9.75</v>
      </c>
      <c r="G40" s="18">
        <v>234000</v>
      </c>
      <c r="H40" s="18" t="s">
        <v>29</v>
      </c>
      <c r="I40" t="s">
        <v>181</v>
      </c>
      <c r="J40" s="1" t="s">
        <v>48</v>
      </c>
      <c r="K40" s="1"/>
      <c r="L40" s="1"/>
      <c r="M40" s="1"/>
    </row>
    <row r="41" spans="1:13">
      <c r="A41" s="16" t="s">
        <v>70</v>
      </c>
      <c r="B41"/>
      <c r="E41" s="18">
        <v>791498.2</v>
      </c>
      <c r="F41" s="19">
        <v>8.54899415963661</v>
      </c>
      <c r="G41" s="18">
        <v>7149018.87142857</v>
      </c>
      <c r="H41" s="18"/>
    </row>
    <row r="42" spans="1:13">
      <c r="B42"/>
    </row>
    <row r="43" spans="1:13">
      <c r="B43"/>
    </row>
    <row r="44" spans="1:13">
      <c r="B44"/>
    </row>
    <row r="45" spans="1:13">
      <c r="B45"/>
    </row>
    <row r="46" spans="1:13">
      <c r="B46"/>
    </row>
    <row r="47" spans="1:13">
      <c r="B47"/>
    </row>
    <row r="48" spans="1:13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</sheetData>
  <dataValidations count="1">
    <dataValidation type="list" allowBlank="1" showInputMessage="1" showErrorMessage="1" sqref="H6:H40">
      <formula1>Inputs!$B$3:$B$4</formula1>
    </dataValidation>
  </dataValidations>
  <pageMargins left="0.7" right="0.7" top="0.75" bottom="0.75" header="0.3" footer="0.3"/>
  <pageSetup paperSize="9" scale="7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T11"/>
  <sheetViews>
    <sheetView topLeftCell="D1" workbookViewId="0">
      <selection activeCell="Q13" sqref="Q13"/>
    </sheetView>
  </sheetViews>
  <sheetFormatPr defaultColWidth="9" defaultRowHeight="14.4"/>
  <sheetData>
    <row r="2" spans="2:20">
      <c r="G2" t="s">
        <v>203</v>
      </c>
      <c r="K2" s="1" t="s">
        <v>204</v>
      </c>
      <c r="L2" s="1"/>
    </row>
    <row r="3" spans="2:20">
      <c r="B3" t="s">
        <v>29</v>
      </c>
      <c r="D3" t="s">
        <v>41</v>
      </c>
      <c r="E3" s="2">
        <v>2</v>
      </c>
      <c r="G3" t="s">
        <v>26</v>
      </c>
      <c r="H3" s="1">
        <v>8</v>
      </c>
      <c r="K3" t="s">
        <v>26</v>
      </c>
      <c r="L3">
        <v>10</v>
      </c>
      <c r="O3" t="s">
        <v>26</v>
      </c>
      <c r="P3">
        <v>22</v>
      </c>
      <c r="R3" s="3" t="s">
        <v>205</v>
      </c>
    </row>
    <row r="4" ht="15.15" spans="2:20">
      <c r="B4" t="s">
        <v>48</v>
      </c>
      <c r="D4" t="s">
        <v>206</v>
      </c>
      <c r="E4" s="2">
        <v>4</v>
      </c>
      <c r="G4" t="s">
        <v>77</v>
      </c>
      <c r="H4" s="1">
        <v>8</v>
      </c>
      <c r="K4" t="s">
        <v>77</v>
      </c>
      <c r="L4">
        <v>10</v>
      </c>
      <c r="O4" t="s">
        <v>77</v>
      </c>
      <c r="P4">
        <v>24</v>
      </c>
    </row>
    <row r="5" spans="2:20">
      <c r="D5" t="s">
        <v>207</v>
      </c>
      <c r="E5" s="2">
        <v>7</v>
      </c>
      <c r="G5" t="s">
        <v>36</v>
      </c>
      <c r="H5" s="1">
        <v>6</v>
      </c>
      <c r="K5" t="s">
        <v>36</v>
      </c>
      <c r="L5">
        <v>0</v>
      </c>
      <c r="O5" t="s">
        <v>36</v>
      </c>
      <c r="P5">
        <v>14</v>
      </c>
      <c r="R5" t="s">
        <v>26</v>
      </c>
      <c r="S5" s="4">
        <v>0.2</v>
      </c>
      <c r="T5" s="5" t="s">
        <v>208</v>
      </c>
    </row>
    <row r="6" spans="2:20">
      <c r="G6" t="s">
        <v>47</v>
      </c>
      <c r="H6" s="1">
        <v>11</v>
      </c>
      <c r="K6" t="s">
        <v>47</v>
      </c>
      <c r="L6">
        <v>12</v>
      </c>
      <c r="O6" t="s">
        <v>47</v>
      </c>
      <c r="P6">
        <v>17</v>
      </c>
      <c r="R6" t="s">
        <v>36</v>
      </c>
      <c r="S6" s="4">
        <v>0.3</v>
      </c>
      <c r="T6" s="6"/>
    </row>
    <row r="7" spans="2:20">
      <c r="G7" t="s">
        <v>56</v>
      </c>
      <c r="H7" s="1">
        <v>11</v>
      </c>
      <c r="K7" t="s">
        <v>56</v>
      </c>
      <c r="L7">
        <v>10</v>
      </c>
      <c r="O7" t="s">
        <v>56</v>
      </c>
      <c r="P7">
        <v>19</v>
      </c>
      <c r="R7" t="s">
        <v>47</v>
      </c>
      <c r="S7" s="4">
        <v>0.4</v>
      </c>
      <c r="T7" s="6"/>
    </row>
    <row r="8" ht="15.15" spans="2:20">
      <c r="R8" t="s">
        <v>56</v>
      </c>
      <c r="S8" s="4">
        <v>0.2</v>
      </c>
      <c r="T8" s="7"/>
    </row>
    <row r="11" spans="2:20">
      <c r="B11" t="s">
        <v>209</v>
      </c>
    </row>
  </sheetData>
  <mergeCells count="2">
    <mergeCell ref="K2:L2"/>
    <mergeCell ref="T5:T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Orders Loaded</vt:lpstr>
      <vt:lpstr>Profitability Analysis</vt:lpstr>
      <vt:lpstr>Summary</vt:lpstr>
      <vt:lpstr>Offal</vt:lpstr>
      <vt:lpstr>Veal</vt:lpstr>
      <vt:lpstr>Financial Data</vt:lpstr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 Montano</dc:creator>
  <cp:lastModifiedBy>Bobby Koh</cp:lastModifiedBy>
  <dcterms:created xsi:type="dcterms:W3CDTF">2026-07-03T03:53:00Z</dcterms:created>
  <cp:lastPrinted>2026-08-07T00:08:00Z</cp:lastPrinted>
  <dcterms:modified xsi:type="dcterms:W3CDTF">2026-08-12T06:58:13Z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43F9B2FE141F419B9869B40DC90D4874_13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