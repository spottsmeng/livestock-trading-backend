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F12F29D-C4E2-41E1-9982-73D71DFE582D}" xr6:coauthVersionLast="47" xr6:coauthVersionMax="47" xr10:uidLastSave="{00000000-0000-0000-0000-000000000000}"/>
  <bookViews>
    <workbookView xWindow="-98" yWindow="-98" windowWidth="21795" windowHeight="12975" xr2:uid="{54A1339A-D5EE-41EF-8469-523567BCD1C5}"/>
  </bookViews>
  <sheets>
    <sheet name="Profitability Analysis" sheetId="3" r:id="rId1"/>
    <sheet name="Summary" sheetId="6" state="hidden" r:id="rId2"/>
    <sheet name="Offal" sheetId="7" state="hidden" r:id="rId3"/>
    <sheet name="Veal" sheetId="5" state="hidden" r:id="rId4"/>
    <sheet name="Financial Data" sheetId="1" state="hidden" r:id="rId5"/>
    <sheet name="Sheet1" sheetId="2" state="hidden" r:id="rId6"/>
  </sheets>
  <definedNames>
    <definedName name="_xlnm._FilterDatabase" localSheetId="0" hidden="1">'Profitability Analysis'!$B$7:$V$35</definedName>
    <definedName name="_xlnm._FilterDatabase" localSheetId="3" hidden="1">Veal!$A$2:$B$2</definedName>
  </definedNames>
  <calcPr calcId="191029"/>
  <pivotCaches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4" i="3" l="1"/>
  <c r="X33" i="3"/>
  <c r="X32" i="3"/>
  <c r="X31" i="3"/>
  <c r="X30" i="3"/>
  <c r="AC30" i="3" s="1"/>
  <c r="X29" i="3"/>
  <c r="AC29" i="3" s="1"/>
  <c r="X28" i="3"/>
  <c r="AC28" i="3" s="1"/>
  <c r="X27" i="3"/>
  <c r="AC27" i="3" s="1"/>
  <c r="AF27" i="3" s="1"/>
  <c r="X26" i="3"/>
  <c r="AC26" i="3" s="1"/>
  <c r="AF26" i="3" s="1"/>
  <c r="X25" i="3"/>
  <c r="AC25" i="3" s="1"/>
  <c r="AF25" i="3" s="1"/>
  <c r="X24" i="3"/>
  <c r="X23" i="3"/>
  <c r="AC23" i="3" s="1"/>
  <c r="X22" i="3"/>
  <c r="AC22" i="3" s="1"/>
  <c r="X21" i="3"/>
  <c r="AC21" i="3" s="1"/>
  <c r="X20" i="3"/>
  <c r="X19" i="3"/>
  <c r="X18" i="3"/>
  <c r="X17" i="3"/>
  <c r="X16" i="3"/>
  <c r="AC16" i="3" s="1"/>
  <c r="AF16" i="3" s="1"/>
  <c r="X15" i="3"/>
  <c r="AC15" i="3" s="1"/>
  <c r="AF15" i="3" s="1"/>
  <c r="X14" i="3"/>
  <c r="AC14" i="3" s="1"/>
  <c r="X13" i="3"/>
  <c r="AC13" i="3" s="1"/>
  <c r="X12" i="3"/>
  <c r="AC12" i="3" s="1"/>
  <c r="X11" i="3"/>
  <c r="AC11" i="3" s="1"/>
  <c r="AF11" i="3" s="1"/>
  <c r="X10" i="3"/>
  <c r="AC10" i="3" s="1"/>
  <c r="AF10" i="3" s="1"/>
  <c r="X9" i="3"/>
  <c r="X8" i="3"/>
  <c r="AC8" i="3" s="1"/>
  <c r="AA32" i="3"/>
  <c r="AA30" i="3"/>
  <c r="AA29" i="3"/>
  <c r="AA28" i="3"/>
  <c r="AA27" i="3"/>
  <c r="AA26" i="3"/>
  <c r="AA23" i="3"/>
  <c r="AA15" i="3"/>
  <c r="AA14" i="3"/>
  <c r="AA13" i="3"/>
  <c r="AA12" i="3"/>
  <c r="AB32" i="3" l="1"/>
  <c r="AB33" i="3"/>
  <c r="AB30" i="3"/>
  <c r="AC34" i="3"/>
  <c r="AF34" i="3" s="1"/>
  <c r="AC19" i="3"/>
  <c r="AC18" i="3"/>
  <c r="AF18" i="3" s="1"/>
  <c r="AC20" i="3"/>
  <c r="AC32" i="3"/>
  <c r="AF32" i="3" s="1"/>
  <c r="AC33" i="3"/>
  <c r="AF33" i="3" s="1"/>
  <c r="AC31" i="3"/>
  <c r="AF31" i="3" s="1"/>
  <c r="AC24" i="3"/>
  <c r="AF24" i="3" s="1"/>
  <c r="AF30" i="3"/>
  <c r="AC9" i="3"/>
  <c r="AF9" i="3" s="1"/>
  <c r="AC17" i="3"/>
  <c r="AF17" i="3" s="1"/>
  <c r="AF8" i="3"/>
  <c r="AF28" i="3"/>
  <c r="AF29" i="3"/>
  <c r="AF14" i="3"/>
  <c r="AF12" i="3"/>
  <c r="AF23" i="3"/>
  <c r="AF21" i="3"/>
  <c r="AF22" i="3"/>
  <c r="AF13" i="3"/>
  <c r="F56" i="3"/>
  <c r="F35" i="3"/>
  <c r="V34" i="3"/>
  <c r="U34" i="3"/>
  <c r="O34" i="3"/>
  <c r="AA34" i="3" s="1"/>
  <c r="N34" i="3"/>
  <c r="Z34" i="3" s="1"/>
  <c r="M34" i="3"/>
  <c r="Y34" i="3" s="1"/>
  <c r="AB34" i="3" s="1"/>
  <c r="K34" i="3"/>
  <c r="V33" i="3"/>
  <c r="U33" i="3"/>
  <c r="O33" i="3"/>
  <c r="AA33" i="3" s="1"/>
  <c r="N33" i="3"/>
  <c r="Z33" i="3" s="1"/>
  <c r="M33" i="3"/>
  <c r="Y33" i="3" s="1"/>
  <c r="K33" i="3"/>
  <c r="V32" i="3"/>
  <c r="U32" i="3"/>
  <c r="N32" i="3"/>
  <c r="Z32" i="3" s="1"/>
  <c r="M32" i="3"/>
  <c r="Y32" i="3" s="1"/>
  <c r="K32" i="3"/>
  <c r="R56" i="3"/>
  <c r="V54" i="3"/>
  <c r="U54" i="3"/>
  <c r="O54" i="3"/>
  <c r="N54" i="3"/>
  <c r="K54" i="3"/>
  <c r="V53" i="3"/>
  <c r="U53" i="3"/>
  <c r="O53" i="3"/>
  <c r="N53" i="3"/>
  <c r="M53" i="3"/>
  <c r="K53" i="3"/>
  <c r="K31" i="3"/>
  <c r="K30" i="3"/>
  <c r="K29" i="3"/>
  <c r="K28" i="3"/>
  <c r="K27" i="3"/>
  <c r="K55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O52" i="3"/>
  <c r="N52" i="3"/>
  <c r="M52" i="3"/>
  <c r="N8" i="3"/>
  <c r="Z8" i="3" s="1"/>
  <c r="H50" i="3"/>
  <c r="H56" i="3" s="1"/>
  <c r="V52" i="3"/>
  <c r="U52" i="3"/>
  <c r="K52" i="3"/>
  <c r="V51" i="3"/>
  <c r="U51" i="3"/>
  <c r="O51" i="3"/>
  <c r="N51" i="3"/>
  <c r="M51" i="3"/>
  <c r="K51" i="3"/>
  <c r="R13" i="3"/>
  <c r="R12" i="3"/>
  <c r="R9" i="3"/>
  <c r="R8" i="3"/>
  <c r="R17" i="3"/>
  <c r="R16" i="3"/>
  <c r="V31" i="3"/>
  <c r="U31" i="3"/>
  <c r="O31" i="3"/>
  <c r="AA31" i="3" s="1"/>
  <c r="M31" i="3"/>
  <c r="Y31" i="3" s="1"/>
  <c r="AB31" i="3" s="1"/>
  <c r="N31" i="3"/>
  <c r="Z31" i="3" s="1"/>
  <c r="V30" i="3"/>
  <c r="U30" i="3"/>
  <c r="M30" i="3"/>
  <c r="Y30" i="3" s="1"/>
  <c r="N30" i="3"/>
  <c r="Z30" i="3" s="1"/>
  <c r="V29" i="3"/>
  <c r="U29" i="3"/>
  <c r="M29" i="3"/>
  <c r="Y29" i="3" s="1"/>
  <c r="AB29" i="3" s="1"/>
  <c r="N29" i="3"/>
  <c r="Z29" i="3" s="1"/>
  <c r="U49" i="3"/>
  <c r="U48" i="3"/>
  <c r="U47" i="3"/>
  <c r="U46" i="3"/>
  <c r="U45" i="3"/>
  <c r="U44" i="3"/>
  <c r="U43" i="3"/>
  <c r="U42" i="3"/>
  <c r="U41" i="3"/>
  <c r="U40" i="3"/>
  <c r="O43" i="3"/>
  <c r="N43" i="3"/>
  <c r="M43" i="3"/>
  <c r="V49" i="3"/>
  <c r="O49" i="3"/>
  <c r="N49" i="3"/>
  <c r="M49" i="3"/>
  <c r="K49" i="3"/>
  <c r="V48" i="3"/>
  <c r="O48" i="3"/>
  <c r="N48" i="3"/>
  <c r="M48" i="3"/>
  <c r="K48" i="3"/>
  <c r="V47" i="3"/>
  <c r="O47" i="3"/>
  <c r="N47" i="3"/>
  <c r="M47" i="3"/>
  <c r="K47" i="3"/>
  <c r="V46" i="3"/>
  <c r="O46" i="3"/>
  <c r="N46" i="3"/>
  <c r="M46" i="3"/>
  <c r="K46" i="3"/>
  <c r="V45" i="3"/>
  <c r="O45" i="3"/>
  <c r="N45" i="3"/>
  <c r="M45" i="3"/>
  <c r="K45" i="3"/>
  <c r="V44" i="3"/>
  <c r="O44" i="3"/>
  <c r="N44" i="3"/>
  <c r="M44" i="3"/>
  <c r="K44" i="3"/>
  <c r="V43" i="3"/>
  <c r="K43" i="3"/>
  <c r="V42" i="3"/>
  <c r="O42" i="3"/>
  <c r="N42" i="3"/>
  <c r="M42" i="3"/>
  <c r="K42" i="3"/>
  <c r="V41" i="3"/>
  <c r="O41" i="3"/>
  <c r="N41" i="3"/>
  <c r="M41" i="3"/>
  <c r="K41" i="3"/>
  <c r="V40" i="3"/>
  <c r="O40" i="3"/>
  <c r="N40" i="3"/>
  <c r="M40" i="3"/>
  <c r="K40" i="3"/>
  <c r="K50" i="3"/>
  <c r="K8" i="3"/>
  <c r="V8" i="3"/>
  <c r="D60" i="6"/>
  <c r="G10" i="6"/>
  <c r="C66" i="6"/>
  <c r="C53" i="6"/>
  <c r="C55" i="6"/>
  <c r="C73" i="6"/>
  <c r="C54" i="6"/>
  <c r="D69" i="6"/>
  <c r="I6" i="6"/>
  <c r="I10" i="6"/>
  <c r="H42" i="6"/>
  <c r="H40" i="6"/>
  <c r="H38" i="6"/>
  <c r="F41" i="6"/>
  <c r="G41" i="6"/>
  <c r="F38" i="6"/>
  <c r="G38" i="6"/>
  <c r="G42" i="6"/>
  <c r="F39" i="6"/>
  <c r="G39" i="6"/>
  <c r="F40" i="6"/>
  <c r="G40" i="6"/>
  <c r="I40" i="6"/>
  <c r="H39" i="6"/>
  <c r="I39" i="6"/>
  <c r="I38" i="6"/>
  <c r="J6" i="6"/>
  <c r="H9" i="6"/>
  <c r="H6" i="6"/>
  <c r="H7" i="6"/>
  <c r="H8" i="6"/>
  <c r="H10" i="6"/>
  <c r="L10" i="6"/>
  <c r="E31" i="6"/>
  <c r="I9" i="6"/>
  <c r="I7" i="6"/>
  <c r="I8" i="6"/>
  <c r="J9" i="6"/>
  <c r="J7" i="6"/>
  <c r="J10" i="6"/>
  <c r="J8" i="6"/>
  <c r="K10" i="6"/>
  <c r="F4" i="7"/>
  <c r="F5" i="7"/>
  <c r="F6" i="7"/>
  <c r="F7" i="7"/>
  <c r="F8" i="7"/>
  <c r="F9" i="7"/>
  <c r="F10" i="7"/>
  <c r="F3" i="7"/>
  <c r="G11" i="7"/>
  <c r="E20" i="6"/>
  <c r="E14" i="6"/>
  <c r="E15" i="6"/>
  <c r="E16" i="6"/>
  <c r="E17" i="6"/>
  <c r="E18" i="6"/>
  <c r="E19" i="6"/>
  <c r="E13" i="6"/>
  <c r="I4" i="5"/>
  <c r="I6" i="5"/>
  <c r="I7" i="5"/>
  <c r="I8" i="5"/>
  <c r="I10" i="5"/>
  <c r="I14" i="5"/>
  <c r="I15" i="5"/>
  <c r="I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" i="5"/>
  <c r="C4" i="5"/>
  <c r="C5" i="5"/>
  <c r="C6" i="5"/>
  <c r="C7" i="5"/>
  <c r="C8" i="5"/>
  <c r="C9" i="5"/>
  <c r="C10" i="5"/>
  <c r="C11" i="5"/>
  <c r="C12" i="5"/>
  <c r="C13" i="5"/>
  <c r="H6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" i="5"/>
  <c r="I13" i="5"/>
  <c r="O8" i="3"/>
  <c r="AA8" i="3" s="1"/>
  <c r="AD8" i="3" s="1"/>
  <c r="O9" i="3"/>
  <c r="AA9" i="3" s="1"/>
  <c r="O10" i="3"/>
  <c r="AA10" i="3" s="1"/>
  <c r="O11" i="3"/>
  <c r="AA11" i="3" s="1"/>
  <c r="O16" i="3"/>
  <c r="AA16" i="3" s="1"/>
  <c r="M16" i="3"/>
  <c r="Y16" i="3" s="1"/>
  <c r="AD16" i="3" s="1"/>
  <c r="N16" i="3"/>
  <c r="Z16" i="3" s="1"/>
  <c r="AB16" i="3" s="1"/>
  <c r="O17" i="3"/>
  <c r="AA17" i="3" s="1"/>
  <c r="O18" i="3"/>
  <c r="AA18" i="3" s="1"/>
  <c r="O50" i="3"/>
  <c r="O19" i="3"/>
  <c r="AA19" i="3" s="1"/>
  <c r="O20" i="3"/>
  <c r="AA20" i="3" s="1"/>
  <c r="O21" i="3"/>
  <c r="AA21" i="3" s="1"/>
  <c r="O22" i="3"/>
  <c r="AA22" i="3" s="1"/>
  <c r="O24" i="3"/>
  <c r="AA24" i="3" s="1"/>
  <c r="O25" i="3"/>
  <c r="AA25" i="3" s="1"/>
  <c r="O55" i="3"/>
  <c r="N9" i="3"/>
  <c r="Z9" i="3" s="1"/>
  <c r="N10" i="3"/>
  <c r="Z10" i="3" s="1"/>
  <c r="N11" i="3"/>
  <c r="Z11" i="3" s="1"/>
  <c r="N12" i="3"/>
  <c r="Z12" i="3" s="1"/>
  <c r="N13" i="3"/>
  <c r="Z13" i="3" s="1"/>
  <c r="N14" i="3"/>
  <c r="Z14" i="3" s="1"/>
  <c r="AD14" i="3" s="1"/>
  <c r="N15" i="3"/>
  <c r="Z15" i="3" s="1"/>
  <c r="N17" i="3"/>
  <c r="Z17" i="3" s="1"/>
  <c r="AD17" i="3" s="1"/>
  <c r="N18" i="3"/>
  <c r="Z18" i="3" s="1"/>
  <c r="N50" i="3"/>
  <c r="N19" i="3"/>
  <c r="Z19" i="3" s="1"/>
  <c r="N20" i="3"/>
  <c r="Z20" i="3" s="1"/>
  <c r="N21" i="3"/>
  <c r="Z21" i="3" s="1"/>
  <c r="N22" i="3"/>
  <c r="Z22" i="3" s="1"/>
  <c r="AB22" i="3" s="1"/>
  <c r="N23" i="3"/>
  <c r="Z23" i="3" s="1"/>
  <c r="N24" i="3"/>
  <c r="Z24" i="3" s="1"/>
  <c r="N25" i="3"/>
  <c r="Z25" i="3" s="1"/>
  <c r="N26" i="3"/>
  <c r="Z26" i="3" s="1"/>
  <c r="N55" i="3"/>
  <c r="N27" i="3"/>
  <c r="Z27" i="3" s="1"/>
  <c r="N28" i="3"/>
  <c r="Z28" i="3" s="1"/>
  <c r="M8" i="3"/>
  <c r="Y8" i="3" s="1"/>
  <c r="M9" i="3"/>
  <c r="Y9" i="3" s="1"/>
  <c r="AB9" i="3" s="1"/>
  <c r="M10" i="3"/>
  <c r="Y10" i="3" s="1"/>
  <c r="AD10" i="3" s="1"/>
  <c r="M11" i="3"/>
  <c r="Y11" i="3" s="1"/>
  <c r="M12" i="3"/>
  <c r="Y12" i="3" s="1"/>
  <c r="M13" i="3"/>
  <c r="Y13" i="3" s="1"/>
  <c r="M14" i="3"/>
  <c r="Y14" i="3" s="1"/>
  <c r="AB14" i="3" s="1"/>
  <c r="M15" i="3"/>
  <c r="Y15" i="3" s="1"/>
  <c r="M17" i="3"/>
  <c r="Y17" i="3" s="1"/>
  <c r="AB17" i="3" s="1"/>
  <c r="M18" i="3"/>
  <c r="Y18" i="3" s="1"/>
  <c r="AB18" i="3" s="1"/>
  <c r="M50" i="3"/>
  <c r="M19" i="3"/>
  <c r="Y19" i="3" s="1"/>
  <c r="M20" i="3"/>
  <c r="Y20" i="3" s="1"/>
  <c r="M21" i="3"/>
  <c r="Y21" i="3" s="1"/>
  <c r="M22" i="3"/>
  <c r="Y22" i="3" s="1"/>
  <c r="M23" i="3"/>
  <c r="Y23" i="3" s="1"/>
  <c r="M24" i="3"/>
  <c r="Y24" i="3" s="1"/>
  <c r="M25" i="3"/>
  <c r="Y25" i="3" s="1"/>
  <c r="AB25" i="3" s="1"/>
  <c r="M26" i="3"/>
  <c r="Y26" i="3" s="1"/>
  <c r="AD26" i="3" s="1"/>
  <c r="M55" i="3"/>
  <c r="M27" i="3"/>
  <c r="Y27" i="3" s="1"/>
  <c r="M28" i="3"/>
  <c r="Y28" i="3" s="1"/>
  <c r="U8" i="3"/>
  <c r="U9" i="3"/>
  <c r="U10" i="3"/>
  <c r="U11" i="3"/>
  <c r="U12" i="3"/>
  <c r="U13" i="3"/>
  <c r="U14" i="3"/>
  <c r="U15" i="3"/>
  <c r="U16" i="3"/>
  <c r="U17" i="3"/>
  <c r="U18" i="3"/>
  <c r="U50" i="3"/>
  <c r="U19" i="3"/>
  <c r="U20" i="3"/>
  <c r="U21" i="3"/>
  <c r="U22" i="3"/>
  <c r="U23" i="3"/>
  <c r="U24" i="3"/>
  <c r="U25" i="3"/>
  <c r="U26" i="3"/>
  <c r="U55" i="3"/>
  <c r="U27" i="3"/>
  <c r="U28" i="3"/>
  <c r="V9" i="3"/>
  <c r="V10" i="3"/>
  <c r="V11" i="3"/>
  <c r="V12" i="3"/>
  <c r="V13" i="3"/>
  <c r="V14" i="3"/>
  <c r="V15" i="3"/>
  <c r="V16" i="3"/>
  <c r="V17" i="3"/>
  <c r="V18" i="3"/>
  <c r="V50" i="3"/>
  <c r="V19" i="3"/>
  <c r="V20" i="3"/>
  <c r="V21" i="3"/>
  <c r="V22" i="3"/>
  <c r="V23" i="3"/>
  <c r="V24" i="3"/>
  <c r="V25" i="3"/>
  <c r="V26" i="3"/>
  <c r="V55" i="3"/>
  <c r="V27" i="3"/>
  <c r="V28" i="3"/>
  <c r="J6" i="1"/>
  <c r="J7" i="1"/>
  <c r="J39" i="1"/>
  <c r="J38" i="1"/>
  <c r="J18" i="1"/>
  <c r="J17" i="1"/>
  <c r="J16" i="1"/>
  <c r="J15" i="1"/>
  <c r="J14" i="1"/>
  <c r="J13" i="1"/>
  <c r="J12" i="1"/>
  <c r="J11" i="1"/>
  <c r="J10" i="1"/>
  <c r="J9" i="1"/>
  <c r="J8" i="1"/>
  <c r="F42" i="6"/>
  <c r="I42" i="6"/>
  <c r="H4" i="5"/>
  <c r="I18" i="5"/>
  <c r="H10" i="5"/>
  <c r="I12" i="5"/>
  <c r="H16" i="5"/>
  <c r="H13" i="5"/>
  <c r="H12" i="5"/>
  <c r="H9" i="5"/>
  <c r="I11" i="5"/>
  <c r="H14" i="5"/>
  <c r="H3" i="5"/>
  <c r="H8" i="5"/>
  <c r="H19" i="5"/>
  <c r="H7" i="5"/>
  <c r="I9" i="5"/>
  <c r="H18" i="5"/>
  <c r="H15" i="5"/>
  <c r="I17" i="5"/>
  <c r="I5" i="5"/>
  <c r="H41" i="6"/>
  <c r="I41" i="6"/>
  <c r="H17" i="5"/>
  <c r="H5" i="5"/>
  <c r="I19" i="5"/>
  <c r="I16" i="5"/>
  <c r="H11" i="5"/>
  <c r="AB8" i="3" l="1"/>
  <c r="AD24" i="3"/>
  <c r="AD15" i="3"/>
  <c r="AB15" i="3"/>
  <c r="AD22" i="3"/>
  <c r="AD30" i="3"/>
  <c r="AD25" i="3"/>
  <c r="AD21" i="3"/>
  <c r="AB21" i="3"/>
  <c r="AB24" i="3"/>
  <c r="AD27" i="3"/>
  <c r="AB27" i="3"/>
  <c r="AB20" i="3"/>
  <c r="AD12" i="3"/>
  <c r="AB12" i="3"/>
  <c r="AD34" i="3"/>
  <c r="AB26" i="3"/>
  <c r="AD23" i="3"/>
  <c r="AB23" i="3"/>
  <c r="AD28" i="3"/>
  <c r="AB28" i="3"/>
  <c r="AD13" i="3"/>
  <c r="AB13" i="3"/>
  <c r="AB10" i="3"/>
  <c r="AB19" i="3"/>
  <c r="AB11" i="3"/>
  <c r="AD9" i="3"/>
  <c r="AD18" i="3"/>
  <c r="AF20" i="3"/>
  <c r="AD20" i="3"/>
  <c r="AF19" i="3"/>
  <c r="AD19" i="3"/>
  <c r="AD32" i="3"/>
  <c r="AD29" i="3"/>
  <c r="AD31" i="3"/>
  <c r="AD11" i="3"/>
  <c r="AD33" i="3"/>
  <c r="Q34" i="3"/>
  <c r="T34" i="3"/>
  <c r="AE34" i="3" s="1"/>
  <c r="Q33" i="3"/>
  <c r="T33" i="3"/>
  <c r="AE33" i="3" s="1"/>
  <c r="T32" i="3"/>
  <c r="AE32" i="3" s="1"/>
  <c r="Q32" i="3"/>
  <c r="Q54" i="3"/>
  <c r="T54" i="3"/>
  <c r="T53" i="3"/>
  <c r="Q53" i="3"/>
  <c r="T44" i="3"/>
  <c r="T49" i="3"/>
  <c r="T52" i="3"/>
  <c r="T40" i="3"/>
  <c r="T48" i="3"/>
  <c r="T51" i="3"/>
  <c r="Q51" i="3"/>
  <c r="T43" i="3"/>
  <c r="Q43" i="3"/>
  <c r="T29" i="3"/>
  <c r="AE29" i="3" s="1"/>
  <c r="T13" i="3"/>
  <c r="AE13" i="3" s="1"/>
  <c r="T30" i="3"/>
  <c r="AE30" i="3" s="1"/>
  <c r="Q40" i="3"/>
  <c r="T41" i="3"/>
  <c r="Q44" i="3"/>
  <c r="Q52" i="3"/>
  <c r="T12" i="3"/>
  <c r="AE12" i="3" s="1"/>
  <c r="Q49" i="3"/>
  <c r="T47" i="3"/>
  <c r="T28" i="3"/>
  <c r="AE28" i="3" s="1"/>
  <c r="T27" i="3"/>
  <c r="AE27" i="3" s="1"/>
  <c r="T42" i="3"/>
  <c r="T45" i="3"/>
  <c r="T55" i="3"/>
  <c r="T15" i="3"/>
  <c r="AE15" i="3" s="1"/>
  <c r="Q50" i="3"/>
  <c r="T14" i="3"/>
  <c r="AE14" i="3" s="1"/>
  <c r="T18" i="3"/>
  <c r="AE18" i="3" s="1"/>
  <c r="T46" i="3"/>
  <c r="T21" i="3"/>
  <c r="AE21" i="3" s="1"/>
  <c r="T23" i="3"/>
  <c r="AE23" i="3" s="1"/>
  <c r="T25" i="3"/>
  <c r="AE25" i="3" s="1"/>
  <c r="T24" i="3"/>
  <c r="AE24" i="3" s="1"/>
  <c r="T11" i="3"/>
  <c r="AE11" i="3" s="1"/>
  <c r="Q41" i="3"/>
  <c r="T50" i="3"/>
  <c r="T22" i="3"/>
  <c r="AE22" i="3" s="1"/>
  <c r="T10" i="3"/>
  <c r="AE10" i="3" s="1"/>
  <c r="Q45" i="3"/>
  <c r="T17" i="3"/>
  <c r="AE17" i="3" s="1"/>
  <c r="Q46" i="3"/>
  <c r="Q31" i="3"/>
  <c r="Q47" i="3"/>
  <c r="Q48" i="3"/>
  <c r="T20" i="3"/>
  <c r="AE20" i="3" s="1"/>
  <c r="T9" i="3"/>
  <c r="AE9" i="3" s="1"/>
  <c r="Q42" i="3"/>
  <c r="T19" i="3"/>
  <c r="AE19" i="3" s="1"/>
  <c r="T8" i="3"/>
  <c r="AE8" i="3" s="1"/>
  <c r="G56" i="3"/>
  <c r="Q23" i="3"/>
  <c r="Q8" i="3"/>
  <c r="Q13" i="3"/>
  <c r="Q17" i="3"/>
  <c r="Q21" i="3"/>
  <c r="Q28" i="3"/>
  <c r="Q16" i="3"/>
  <c r="Q11" i="3"/>
  <c r="Q12" i="3"/>
  <c r="Q14" i="3"/>
  <c r="Q18" i="3"/>
  <c r="Q22" i="3"/>
  <c r="Q55" i="3"/>
  <c r="Q10" i="3"/>
  <c r="Q19" i="3"/>
  <c r="Q24" i="3"/>
  <c r="Q27" i="3"/>
  <c r="Q9" i="3"/>
  <c r="Q15" i="3"/>
  <c r="Q20" i="3"/>
  <c r="Q25" i="3"/>
  <c r="T16" i="3"/>
  <c r="AE16" i="3" s="1"/>
  <c r="T31" i="3"/>
  <c r="AE31" i="3" s="1"/>
  <c r="Q30" i="3"/>
  <c r="Q29" i="3"/>
  <c r="T26" i="3"/>
  <c r="AE26" i="3" s="1"/>
  <c r="Q26" i="3"/>
  <c r="H35" i="3" l="1"/>
  <c r="G35" i="3" s="1"/>
  <c r="R35" i="3"/>
</calcChain>
</file>

<file path=xl/sharedStrings.xml><?xml version="1.0" encoding="utf-8"?>
<sst xmlns="http://schemas.openxmlformats.org/spreadsheetml/2006/main" count="683" uniqueCount="202">
  <si>
    <t>Sales Representative</t>
  </si>
  <si>
    <t>Peter</t>
  </si>
  <si>
    <t>Status</t>
  </si>
  <si>
    <t>(Multiple Items)</t>
  </si>
  <si>
    <t>Row Labels</t>
  </si>
  <si>
    <t>Customer Name</t>
  </si>
  <si>
    <t>Type</t>
  </si>
  <si>
    <t>Loadout Date</t>
  </si>
  <si>
    <t>Sum of Total QTY</t>
  </si>
  <si>
    <t>Average of Price AUD</t>
  </si>
  <si>
    <t>Sum of Amount AUD</t>
  </si>
  <si>
    <t>CIF</t>
  </si>
  <si>
    <t xml:space="preserve">profit Ranking </t>
  </si>
  <si>
    <t>Profit Band</t>
  </si>
  <si>
    <t>Estimated Margin at livestock level</t>
  </si>
  <si>
    <t>Do not buy price</t>
  </si>
  <si>
    <t>Post production analysis</t>
  </si>
  <si>
    <t>CED18649</t>
  </si>
  <si>
    <t>TIANJIN NAVIGATOR INTERNATIONAL</t>
  </si>
  <si>
    <t>SHEEP</t>
  </si>
  <si>
    <t>A</t>
  </si>
  <si>
    <t>C</t>
  </si>
  <si>
    <t>CED18650</t>
  </si>
  <si>
    <t>SHANGHAI NEW SOURCE</t>
  </si>
  <si>
    <t>(blank)</t>
  </si>
  <si>
    <t>B</t>
  </si>
  <si>
    <t>$3.50 FOR VEAL</t>
  </si>
  <si>
    <t>CED18651</t>
  </si>
  <si>
    <t xml:space="preserve">$8.30 FOR GOATS </t>
  </si>
  <si>
    <t>CED18653</t>
  </si>
  <si>
    <t>DALIAN MAGIC INTERNATIONAL</t>
  </si>
  <si>
    <t>$11.00 FOR LAMBS</t>
  </si>
  <si>
    <t>CED18654</t>
  </si>
  <si>
    <t>c</t>
  </si>
  <si>
    <t>$9.30 FOR MUTTON</t>
  </si>
  <si>
    <t>CED18655</t>
  </si>
  <si>
    <t>CED18656</t>
  </si>
  <si>
    <t>JINAN WELCOME INDUSTRIAL</t>
  </si>
  <si>
    <t>MUTTON</t>
  </si>
  <si>
    <t>CED18658</t>
  </si>
  <si>
    <t>CHONGQING GOUZHAN INDUSTRIAL</t>
  </si>
  <si>
    <t>GOAT</t>
  </si>
  <si>
    <t>CED18659</t>
  </si>
  <si>
    <t>CED18660</t>
  </si>
  <si>
    <t>SHENZHEN YUESHI SUPPLY</t>
  </si>
  <si>
    <t>CED18662</t>
  </si>
  <si>
    <t>CED18663</t>
  </si>
  <si>
    <t>CED18664</t>
  </si>
  <si>
    <t>CEDD6957</t>
  </si>
  <si>
    <t>SURE GOOD FOODS</t>
  </si>
  <si>
    <t>FAS</t>
  </si>
  <si>
    <t>CEDD7044</t>
  </si>
  <si>
    <t>AGRICOMM</t>
  </si>
  <si>
    <t>VEAL</t>
  </si>
  <si>
    <t>CEDD7045</t>
  </si>
  <si>
    <t>CEDD7046</t>
  </si>
  <si>
    <t>Profit Ranking  (Peter)</t>
  </si>
  <si>
    <t>All orders to be ranked from 1 to n , 1 being the most profitable</t>
  </si>
  <si>
    <t>CEDD7047</t>
  </si>
  <si>
    <t>Profit Band (Peter)</t>
  </si>
  <si>
    <t>Only 3 bands A , B , C . A being  highly  protable B just about profitable C loss making  Please set the band metrics Please attached calculation</t>
  </si>
  <si>
    <t>CEDD7048</t>
  </si>
  <si>
    <t>Estimated Margin (Peter)</t>
  </si>
  <si>
    <t>This is sales achieved less livestock cost plus transport ie livestock at the plant exclude offals and skins (Calculation to be attached)</t>
  </si>
  <si>
    <t>CEDD7049</t>
  </si>
  <si>
    <t>Do NOT Buy price (Peter)</t>
  </si>
  <si>
    <t>Buyer cannot buy anything above this price. Buyer must attempt to achieve below ths do not buy price</t>
  </si>
  <si>
    <t>CEDD7050</t>
  </si>
  <si>
    <t>Post production  analysis</t>
  </si>
  <si>
    <t xml:space="preserve">This calculate the actual margin at actual livestock  price and actual transport cost  exclude offals and skins This will be compared with Estimated Margin . Calculation to bde attached </t>
  </si>
  <si>
    <t>CEDD7057</t>
  </si>
  <si>
    <t>STELLA FOODS</t>
  </si>
  <si>
    <t xml:space="preserve">Note </t>
  </si>
  <si>
    <t xml:space="preserve">All of this analysis exclude offals and skins  but include transport cost </t>
  </si>
  <si>
    <t>CEDD7060</t>
  </si>
  <si>
    <t>LAMB</t>
  </si>
  <si>
    <t>CEDD7062</t>
  </si>
  <si>
    <t>CEDD7063</t>
  </si>
  <si>
    <t>CEDD7065</t>
  </si>
  <si>
    <t>CEDD7067</t>
  </si>
  <si>
    <t>MIDFIELD COMMODITIES</t>
  </si>
  <si>
    <t>CEDD7068</t>
  </si>
  <si>
    <t>CEDD7069</t>
  </si>
  <si>
    <t>GLOBAL MEAT COMMODITIES</t>
  </si>
  <si>
    <t>CEDD7070</t>
  </si>
  <si>
    <t>SWIFT &amp; COMPANY</t>
  </si>
  <si>
    <t>CEDD7072</t>
  </si>
  <si>
    <t>CEDD7073</t>
  </si>
  <si>
    <t>CED18669</t>
  </si>
  <si>
    <t>CED18670</t>
  </si>
  <si>
    <t>CEDD7076</t>
  </si>
  <si>
    <t>Grand Total</t>
  </si>
  <si>
    <t>Ranking</t>
  </si>
  <si>
    <t>CIF or FAS ?</t>
  </si>
  <si>
    <t>Product Type</t>
  </si>
  <si>
    <t>NRV (per kg)</t>
  </si>
  <si>
    <t>CCS</t>
  </si>
  <si>
    <t>Full Bone</t>
  </si>
  <si>
    <t>Pack Cost</t>
  </si>
  <si>
    <t>MoM PH</t>
  </si>
  <si>
    <t>6 Way</t>
  </si>
  <si>
    <t>Avg Skin Return</t>
  </si>
  <si>
    <t>Offal Return PH</t>
  </si>
  <si>
    <t>Offal</t>
  </si>
  <si>
    <t>Skins</t>
  </si>
  <si>
    <t>Avg Weight</t>
  </si>
  <si>
    <t>Livestock Cost per kg (HSCW)</t>
  </si>
  <si>
    <t xml:space="preserve"> A being  highly  protable B just about profitable C loss making</t>
  </si>
  <si>
    <t>6 WAY</t>
  </si>
  <si>
    <t>Comments</t>
  </si>
  <si>
    <t>Pete to update</t>
  </si>
  <si>
    <t>Do Not Buy Price</t>
  </si>
  <si>
    <t>Estimated number of heads required</t>
  </si>
  <si>
    <t>Total Livestock Cost</t>
  </si>
  <si>
    <t>Janeth to update</t>
  </si>
  <si>
    <t>VEAL KILLED FROM 1ST JULY 2024 TO PRESENT</t>
  </si>
  <si>
    <t>Date</t>
  </si>
  <si>
    <t>No. of Heads Killed</t>
  </si>
  <si>
    <t>Week</t>
  </si>
  <si>
    <t>Heads</t>
  </si>
  <si>
    <t>Month</t>
  </si>
  <si>
    <t>Lamb</t>
  </si>
  <si>
    <t>Mutton</t>
  </si>
  <si>
    <t>Goat</t>
  </si>
  <si>
    <t>Veal</t>
  </si>
  <si>
    <t>Avg Sell Price</t>
  </si>
  <si>
    <t>Avg LV Price</t>
  </si>
  <si>
    <t>Skin Return</t>
  </si>
  <si>
    <t>Product</t>
  </si>
  <si>
    <t>Average Weight (kg)</t>
  </si>
  <si>
    <t>Ovine Brains</t>
  </si>
  <si>
    <t>Ovine Hearts</t>
  </si>
  <si>
    <t>Ovine Kidneys (pair)</t>
  </si>
  <si>
    <t>Ovine Livers</t>
  </si>
  <si>
    <t>Ovine Lungs</t>
  </si>
  <si>
    <t>Ovine Sweetbreads</t>
  </si>
  <si>
    <t>Ovine Tongue</t>
  </si>
  <si>
    <t>Lamb Runners</t>
  </si>
  <si>
    <t>Number of heads for a 20 ft container</t>
  </si>
  <si>
    <t>Total</t>
  </si>
  <si>
    <t>Revenue per head</t>
  </si>
  <si>
    <t>Wks for a load</t>
  </si>
  <si>
    <t>Weight of a load</t>
  </si>
  <si>
    <t>Livestock</t>
  </si>
  <si>
    <t>Direct Labour</t>
  </si>
  <si>
    <t>VOH</t>
  </si>
  <si>
    <t>Salaries</t>
  </si>
  <si>
    <t>Weeks to convert livestock to meat</t>
  </si>
  <si>
    <t>Weeks to convert meat to cash</t>
  </si>
  <si>
    <t xml:space="preserve">Weeks to convert offal to cash </t>
  </si>
  <si>
    <t>Weeks to convert skins to cash</t>
  </si>
  <si>
    <t>Number of working capital weeks required</t>
  </si>
  <si>
    <t>Working capital required</t>
  </si>
  <si>
    <t>Assumptions</t>
  </si>
  <si>
    <t>Weekly Working Capital</t>
  </si>
  <si>
    <t>Cashflow</t>
  </si>
  <si>
    <t>Profitability</t>
  </si>
  <si>
    <t>Expected MOM PH</t>
  </si>
  <si>
    <t>Direct Labour PH</t>
  </si>
  <si>
    <t>VOH PH</t>
  </si>
  <si>
    <t>Gross Margin</t>
  </si>
  <si>
    <t>Gross Margin PH</t>
  </si>
  <si>
    <t>FOH Cost PW</t>
  </si>
  <si>
    <t>EBITDA PW</t>
  </si>
  <si>
    <t>Incresing revenue</t>
  </si>
  <si>
    <t>Brains</t>
  </si>
  <si>
    <t>Hocks</t>
  </si>
  <si>
    <t>Additional Offal collection</t>
  </si>
  <si>
    <t>Offal Type</t>
  </si>
  <si>
    <t>NRV</t>
  </si>
  <si>
    <t>Additional Revenue</t>
  </si>
  <si>
    <t>Reduction in Direct labour Cost</t>
  </si>
  <si>
    <t xml:space="preserve"> Reduction PH</t>
  </si>
  <si>
    <t>Expected cost reduction</t>
  </si>
  <si>
    <t>Reduction in FOH</t>
  </si>
  <si>
    <t>Target Reaction PM</t>
  </si>
  <si>
    <t>Total Expected Saving</t>
  </si>
  <si>
    <t>Incremential revune net cost per kg</t>
  </si>
  <si>
    <t>Incremential revune net cost PW</t>
  </si>
  <si>
    <t>Cubing 200 goats for the domestic market</t>
  </si>
  <si>
    <t>Cost reductions</t>
  </si>
  <si>
    <t>CEDD7085</t>
  </si>
  <si>
    <t xml:space="preserve">BOUNTY FOODS </t>
  </si>
  <si>
    <t>LOADED ORDERS</t>
  </si>
  <si>
    <t>CEDD7084</t>
  </si>
  <si>
    <t>FULL BONE</t>
  </si>
  <si>
    <t xml:space="preserve">TPL FOOD PROCESSING </t>
  </si>
  <si>
    <t>CEDD7089</t>
  </si>
  <si>
    <t>9 Ton Loaded</t>
  </si>
  <si>
    <t>Deposit Received</t>
  </si>
  <si>
    <t>CED18673</t>
  </si>
  <si>
    <t>ACTIVE ORDERS AS OF 30/07</t>
  </si>
  <si>
    <t>CED18674</t>
  </si>
  <si>
    <t>CEDD7092</t>
  </si>
  <si>
    <t>CEDD7093</t>
  </si>
  <si>
    <t>Sheep</t>
  </si>
  <si>
    <t>Diff VS Gayan</t>
  </si>
  <si>
    <t>Diff VS Peter</t>
  </si>
  <si>
    <t>*Based on buying price</t>
  </si>
  <si>
    <t>Bing Do Not Buy Price</t>
  </si>
  <si>
    <t>Profit On Bing Do Not Buy Price</t>
  </si>
  <si>
    <t>Profit On Peter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</si>
</sst>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[Red]\(&quot;$&quot;#,##0\)"/>
    <numFmt numFmtId="165" formatCode="&quot;$&quot;#,##0.00_);[Red]\(&quot;$&quot;#,##0.00\)"/>
    <numFmt numFmtId="166" formatCode="_(* #,##0_);_(* \(#,##0\);_(* &quot;-&quot;_);_(@_)"/>
    <numFmt numFmtId="167" formatCode="_(* #,##0.00_);_(* \(#,##0.00\);_(* &quot;-&quot;??_);_(@_)"/>
    <numFmt numFmtId="168" formatCode="&quot;$&quot;#,##0.00"/>
    <numFmt numFmtId="169" formatCode="#,##0.0"/>
    <numFmt numFmtId="170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70C0"/>
      <name val="Aptos"/>
      <family val="2"/>
    </font>
    <font>
      <b/>
      <sz val="11"/>
      <color rgb="FF0070C0"/>
      <name val="Aptos"/>
      <family val="2"/>
    </font>
    <font>
      <sz val="11"/>
      <color theme="1"/>
      <name val="Aptos"/>
      <family val="2"/>
    </font>
    <font>
      <sz val="11"/>
      <color rgb="FF424242"/>
      <name val="Courier New"/>
      <family val="3"/>
    </font>
    <font>
      <sz val="11"/>
      <color rgb="FF000000"/>
      <name val="Aptos Narrow"/>
      <family val="2"/>
    </font>
    <font>
      <sz val="11"/>
      <color rgb="FF000000"/>
      <name val="Segoe UI"/>
      <family val="2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0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7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2" borderId="2" xfId="0" applyFill="1" applyBorder="1"/>
    <xf numFmtId="164" fontId="0" fillId="2" borderId="2" xfId="0" applyNumberFormat="1" applyFill="1" applyBorder="1"/>
    <xf numFmtId="165" fontId="0" fillId="2" borderId="2" xfId="0" applyNumberFormat="1" applyFill="1" applyBorder="1"/>
    <xf numFmtId="0" fontId="0" fillId="0" borderId="0" xfId="0" applyAlignment="1">
      <alignment horizontal="center"/>
    </xf>
    <xf numFmtId="167" fontId="0" fillId="0" borderId="0" xfId="1" applyFont="1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textRotation="90" wrapText="1"/>
    </xf>
    <xf numFmtId="168" fontId="0" fillId="0" borderId="0" xfId="0" applyNumberFormat="1"/>
    <xf numFmtId="168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 wrapText="1"/>
    </xf>
    <xf numFmtId="0" fontId="0" fillId="5" borderId="0" xfId="0" applyFill="1"/>
    <xf numFmtId="0" fontId="0" fillId="5" borderId="0" xfId="0" applyFill="1" applyAlignment="1">
      <alignment horizontal="center"/>
    </xf>
    <xf numFmtId="0" fontId="2" fillId="3" borderId="0" xfId="0" applyFont="1" applyFill="1" applyAlignment="1">
      <alignment wrapText="1"/>
    </xf>
    <xf numFmtId="0" fontId="2" fillId="3" borderId="0" xfId="0" applyFont="1" applyFill="1"/>
    <xf numFmtId="0" fontId="0" fillId="5" borderId="2" xfId="0" applyFill="1" applyBorder="1"/>
    <xf numFmtId="0" fontId="0" fillId="4" borderId="3" xfId="0" applyFill="1" applyBorder="1"/>
    <xf numFmtId="0" fontId="3" fillId="5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66" fontId="0" fillId="5" borderId="5" xfId="0" applyNumberFormat="1" applyFill="1" applyBorder="1" applyAlignment="1">
      <alignment horizontal="center"/>
    </xf>
    <xf numFmtId="170" fontId="0" fillId="5" borderId="5" xfId="0" applyNumberForma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68" fontId="3" fillId="5" borderId="9" xfId="0" applyNumberFormat="1" applyFont="1" applyFill="1" applyBorder="1" applyAlignment="1">
      <alignment horizontal="center"/>
    </xf>
    <xf numFmtId="168" fontId="0" fillId="4" borderId="2" xfId="0" applyNumberFormat="1" applyFill="1" applyBorder="1" applyAlignment="1" applyProtection="1">
      <alignment horizontal="center"/>
      <protection locked="0"/>
    </xf>
    <xf numFmtId="169" fontId="0" fillId="4" borderId="2" xfId="0" applyNumberFormat="1" applyFill="1" applyBorder="1" applyAlignment="1" applyProtection="1">
      <alignment horizontal="center"/>
      <protection locked="0"/>
    </xf>
    <xf numFmtId="3" fontId="0" fillId="5" borderId="0" xfId="0" applyNumberForma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14" fontId="8" fillId="0" borderId="0" xfId="0" applyNumberFormat="1" applyFont="1"/>
    <xf numFmtId="14" fontId="8" fillId="7" borderId="0" xfId="0" applyNumberFormat="1" applyFont="1" applyFill="1"/>
    <xf numFmtId="0" fontId="8" fillId="7" borderId="0" xfId="0" applyFont="1" applyFill="1"/>
    <xf numFmtId="0" fontId="9" fillId="0" borderId="10" xfId="0" applyFont="1" applyBorder="1" applyAlignment="1">
      <alignment horizontal="left" vertical="center" indent="1"/>
    </xf>
    <xf numFmtId="0" fontId="8" fillId="0" borderId="0" xfId="0" applyFont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2" xfId="0" applyNumberFormat="1" applyBorder="1" applyAlignment="1">
      <alignment horizontal="center" vertical="center"/>
    </xf>
    <xf numFmtId="0" fontId="10" fillId="8" borderId="2" xfId="0" applyFont="1" applyFill="1" applyBorder="1" applyAlignment="1">
      <alignment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168" fontId="0" fillId="0" borderId="2" xfId="0" applyNumberFormat="1" applyBorder="1" applyAlignment="1">
      <alignment horizontal="center"/>
    </xf>
    <xf numFmtId="168" fontId="0" fillId="0" borderId="11" xfId="0" applyNumberFormat="1" applyBorder="1" applyAlignment="1">
      <alignment horizontal="center"/>
    </xf>
    <xf numFmtId="168" fontId="0" fillId="5" borderId="0" xfId="0" applyNumberFormat="1" applyFill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3" xfId="0" applyFill="1" applyBorder="1"/>
    <xf numFmtId="3" fontId="0" fillId="5" borderId="0" xfId="0" applyNumberFormat="1" applyFill="1" applyAlignment="1">
      <alignment horizontal="center"/>
    </xf>
    <xf numFmtId="170" fontId="0" fillId="5" borderId="0" xfId="0" applyNumberFormat="1" applyFill="1" applyAlignment="1">
      <alignment horizontal="center"/>
    </xf>
    <xf numFmtId="3" fontId="0" fillId="5" borderId="11" xfId="0" applyNumberForma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vertical="center" wrapText="1"/>
    </xf>
    <xf numFmtId="3" fontId="0" fillId="5" borderId="2" xfId="0" applyNumberFormat="1" applyFill="1" applyBorder="1" applyAlignment="1">
      <alignment horizontal="center"/>
    </xf>
    <xf numFmtId="3" fontId="0" fillId="5" borderId="2" xfId="0" applyNumberFormat="1" applyFill="1" applyBorder="1" applyAlignment="1">
      <alignment horizontal="center" vertical="center"/>
    </xf>
    <xf numFmtId="0" fontId="0" fillId="5" borderId="0" xfId="0" applyFill="1" applyAlignment="1">
      <alignment horizontal="left"/>
    </xf>
    <xf numFmtId="0" fontId="0" fillId="5" borderId="12" xfId="0" applyFill="1" applyBorder="1"/>
    <xf numFmtId="0" fontId="0" fillId="5" borderId="13" xfId="0" applyFill="1" applyBorder="1" applyAlignment="1">
      <alignment horizontal="center"/>
    </xf>
    <xf numFmtId="170" fontId="0" fillId="5" borderId="3" xfId="0" applyNumberFormat="1" applyFill="1" applyBorder="1" applyAlignment="1">
      <alignment horizontal="center"/>
    </xf>
    <xf numFmtId="170" fontId="0" fillId="5" borderId="11" xfId="0" applyNumberForma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12" fillId="5" borderId="0" xfId="0" applyFont="1" applyFill="1"/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168" fontId="0" fillId="5" borderId="12" xfId="0" applyNumberFormat="1" applyFill="1" applyBorder="1" applyAlignment="1">
      <alignment horizontal="center"/>
    </xf>
    <xf numFmtId="170" fontId="0" fillId="5" borderId="12" xfId="0" applyNumberFormat="1" applyFill="1" applyBorder="1" applyAlignment="1">
      <alignment horizontal="center"/>
    </xf>
    <xf numFmtId="0" fontId="0" fillId="5" borderId="15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 wrapText="1"/>
    </xf>
    <xf numFmtId="168" fontId="0" fillId="5" borderId="16" xfId="0" applyNumberFormat="1" applyFill="1" applyBorder="1" applyAlignment="1">
      <alignment horizontal="center"/>
    </xf>
    <xf numFmtId="168" fontId="0" fillId="5" borderId="17" xfId="0" applyNumberFormat="1" applyFill="1" applyBorder="1" applyAlignment="1">
      <alignment horizontal="center"/>
    </xf>
    <xf numFmtId="0" fontId="0" fillId="5" borderId="16" xfId="0" applyFill="1" applyBorder="1"/>
    <xf numFmtId="168" fontId="2" fillId="5" borderId="11" xfId="0" applyNumberFormat="1" applyFont="1" applyFill="1" applyBorder="1" applyAlignment="1">
      <alignment horizontal="center"/>
    </xf>
    <xf numFmtId="170" fontId="2" fillId="5" borderId="11" xfId="0" applyNumberFormat="1" applyFont="1" applyFill="1" applyBorder="1" applyAlignment="1">
      <alignment horizontal="center"/>
    </xf>
    <xf numFmtId="9" fontId="0" fillId="5" borderId="0" xfId="0" applyNumberFormat="1" applyFill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6" borderId="8" xfId="0" applyFill="1" applyBorder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3" borderId="18" xfId="0" applyFont="1" applyFill="1" applyBorder="1" applyAlignment="1">
      <alignment horizontal="left"/>
    </xf>
    <xf numFmtId="0" fontId="2" fillId="3" borderId="18" xfId="0" applyFont="1" applyFill="1" applyBorder="1"/>
    <xf numFmtId="167" fontId="2" fillId="3" borderId="18" xfId="0" applyNumberFormat="1" applyFont="1" applyFill="1" applyBorder="1"/>
    <xf numFmtId="2" fontId="2" fillId="3" borderId="18" xfId="0" applyNumberFormat="1" applyFont="1" applyFill="1" applyBorder="1"/>
    <xf numFmtId="0" fontId="2" fillId="0" borderId="1" xfId="0" applyFont="1" applyBorder="1"/>
    <xf numFmtId="0" fontId="2" fillId="0" borderId="0" xfId="0" applyFont="1"/>
    <xf numFmtId="0" fontId="2" fillId="3" borderId="0" xfId="0" applyFont="1" applyFill="1" applyAlignment="1">
      <alignment horizontal="left"/>
    </xf>
    <xf numFmtId="167" fontId="2" fillId="3" borderId="0" xfId="0" applyNumberFormat="1" applyFont="1" applyFill="1"/>
    <xf numFmtId="2" fontId="2" fillId="3" borderId="0" xfId="0" applyNumberFormat="1" applyFont="1" applyFill="1"/>
    <xf numFmtId="168" fontId="0" fillId="4" borderId="20" xfId="0" applyNumberFormat="1" applyFill="1" applyBorder="1" applyAlignment="1" applyProtection="1">
      <alignment horizontal="center"/>
      <protection locked="0"/>
    </xf>
    <xf numFmtId="169" fontId="0" fillId="4" borderId="20" xfId="0" applyNumberFormat="1" applyFill="1" applyBorder="1" applyAlignment="1" applyProtection="1">
      <alignment horizontal="center"/>
      <protection locked="0"/>
    </xf>
    <xf numFmtId="0" fontId="0" fillId="5" borderId="20" xfId="0" applyFill="1" applyBorder="1"/>
    <xf numFmtId="167" fontId="0" fillId="0" borderId="0" xfId="0" applyNumberFormat="1" applyProtection="1">
      <protection locked="0"/>
    </xf>
    <xf numFmtId="168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169" fontId="0" fillId="0" borderId="0" xfId="0" applyNumberFormat="1" applyAlignment="1" applyProtection="1">
      <alignment horizontal="center"/>
      <protection locked="0"/>
    </xf>
    <xf numFmtId="168" fontId="3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0" fontId="14" fillId="5" borderId="2" xfId="0" applyFont="1" applyFill="1" applyBorder="1"/>
    <xf numFmtId="0" fontId="3" fillId="5" borderId="2" xfId="0" applyFont="1" applyFill="1" applyBorder="1"/>
    <xf numFmtId="167" fontId="0" fillId="5" borderId="0" xfId="1" applyFont="1" applyFill="1" applyAlignment="1">
      <alignment horizontal="center"/>
    </xf>
    <xf numFmtId="167" fontId="2" fillId="3" borderId="0" xfId="1" applyFont="1" applyFill="1" applyAlignment="1">
      <alignment horizontal="center" vertical="center" wrapText="1"/>
    </xf>
    <xf numFmtId="167" fontId="0" fillId="0" borderId="0" xfId="1" applyFont="1" applyAlignment="1">
      <alignment horizontal="center"/>
    </xf>
    <xf numFmtId="0" fontId="16" fillId="5" borderId="0" xfId="0" applyFont="1" applyFill="1"/>
    <xf numFmtId="0" fontId="16" fillId="3" borderId="0" xfId="0" applyFont="1" applyFill="1" applyAlignment="1">
      <alignment horizontal="center" vertical="center" wrapText="1"/>
    </xf>
    <xf numFmtId="169" fontId="17" fillId="0" borderId="0" xfId="0" applyNumberFormat="1" applyFont="1" applyAlignment="1" applyProtection="1">
      <alignment horizontal="center"/>
      <protection locked="0"/>
    </xf>
    <xf numFmtId="0" fontId="16" fillId="3" borderId="0" xfId="0" applyFont="1" applyFill="1" applyAlignment="1">
      <alignment wrapText="1"/>
    </xf>
    <xf numFmtId="168" fontId="17" fillId="0" borderId="0" xfId="0" applyNumberFormat="1" applyFont="1" applyAlignment="1">
      <alignment horizontal="center"/>
    </xf>
    <xf numFmtId="168" fontId="0" fillId="5" borderId="0" xfId="0" applyNumberFormat="1" applyFill="1"/>
    <xf numFmtId="0" fontId="0" fillId="5" borderId="0" xfId="0" applyFill="1" applyAlignment="1">
      <alignment wrapText="1"/>
    </xf>
    <xf numFmtId="165" fontId="18" fillId="5" borderId="0" xfId="0" applyNumberFormat="1" applyFont="1" applyFill="1"/>
    <xf numFmtId="0" fontId="2" fillId="6" borderId="19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0" xfId="0" applyAlignment="1">
      <alignment horizontal="center"/>
    </xf>
    <xf numFmtId="169" fontId="0" fillId="10" borderId="2" xfId="0" applyNumberFormat="1" applyFill="1" applyBorder="1" applyAlignment="1" applyProtection="1">
      <alignment horizontal="center"/>
      <protection locked="0"/>
    </xf>
    <xf numFmtId="9" fontId="15" fillId="10" borderId="2" xfId="2" applyFont="1" applyFill="1" applyBorder="1" applyAlignment="1" applyProtection="1">
      <alignment horizont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7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D0ED5.98667FA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25400</xdr:colOff>
      <xdr:row>3</xdr:row>
      <xdr:rowOff>0</xdr:rowOff>
    </xdr:from>
    <xdr:to>
      <xdr:col>21</xdr:col>
      <xdr:colOff>857250</xdr:colOff>
      <xdr:row>6</xdr:row>
      <xdr:rowOff>25364</xdr:rowOff>
    </xdr:to>
    <xdr:pic>
      <xdr:nvPicPr>
        <xdr:cNvPr id="2" name="Picture 1772887391" descr="Golden Valley Exports">
          <a:extLst>
            <a:ext uri="{FF2B5EF4-FFF2-40B4-BE49-F238E27FC236}">
              <a16:creationId xmlns:a16="http://schemas.microsoft.com/office/drawing/2014/main" id="{DB7914D5-D594-3F67-9992-E92960365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2900" y="0"/>
          <a:ext cx="831850" cy="596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PORT\CONTRACTS\CHECKING\Cedar%20Meats%20Purchase%20Orders%202025-202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eth Montano" refreshedDate="46206.578430208334" createdVersion="8" refreshedVersion="8" minRefreshableVersion="3" recordCount="202" xr:uid="{20436E1B-4988-4F60-A218-DE00C78B84EE}">
  <cacheSource type="worksheet">
    <worksheetSource ref="A1:Z226" sheet="Detail Data" r:id="rId2"/>
  </cacheSource>
  <cacheFields count="24">
    <cacheField name="Sales Representative" numFmtId="0">
      <sharedItems containsBlank="1" count="3">
        <s v="Peter"/>
        <s v="C Pearson"/>
        <m/>
      </sharedItems>
    </cacheField>
    <cacheField name="Cedar's Contract" numFmtId="0">
      <sharedItems containsBlank="1" count="121">
        <s v="CED18297"/>
        <s v="CED18299"/>
        <s v="CED18300"/>
        <s v="CED18305"/>
        <s v="CED18354"/>
        <s v="CED18355"/>
        <s v="CED18377"/>
        <s v="CED18380"/>
        <s v="CED18559"/>
        <s v="CED18656"/>
        <s v="CED18609"/>
        <s v="CED18610"/>
        <s v="CED18649"/>
        <s v="CED18650"/>
        <s v="CED18651"/>
        <s v="CED18653"/>
        <s v="CED18654"/>
        <s v="CED18655"/>
        <s v="CED18658"/>
        <s v="CED18659"/>
        <s v="CED18660"/>
        <s v="CED18662"/>
        <s v="CED18663"/>
        <s v="CED18664"/>
        <s v="CED18669"/>
        <s v="CED18670"/>
        <s v="CEDD6486"/>
        <s v="CEDD6487"/>
        <s v="CEDD6488"/>
        <s v="CEDD6849"/>
        <s v="CEDD6850"/>
        <s v="CEDD6924"/>
        <s v="CEDD6957"/>
        <s v="CEDD7004"/>
        <s v="CEDD7044"/>
        <s v="CEDD7045"/>
        <s v="CEDD7046"/>
        <s v="CEDD7047"/>
        <s v="CEDD7048"/>
        <s v="CEDD7049"/>
        <s v="CEDD7050"/>
        <s v="CEDD7057"/>
        <s v="CEDD7060"/>
        <s v="CEDD7062"/>
        <s v="CEDD7063"/>
        <s v="CEDD7065"/>
        <s v="CEDD7067"/>
        <s v="CEDD7068"/>
        <s v="CEDD7069"/>
        <s v="CEDD7070"/>
        <s v="CEDD7072"/>
        <s v="CEDD7073"/>
        <s v="CEDD7076"/>
        <s v="CED17539"/>
        <s v="CED17540"/>
        <s v="CED17541"/>
        <s v="CED17612"/>
        <s v="CED17613"/>
        <s v="CED17614"/>
        <s v="CED17642"/>
        <s v="CED17643"/>
        <s v="CED18138"/>
        <s v="CED18226"/>
        <s v="CED18227"/>
        <s v="CED18228"/>
        <s v="CED18229"/>
        <s v="CED18234"/>
        <s v="CED18235"/>
        <s v="CED18236"/>
        <s v="CED18237"/>
        <s v="CED18238"/>
        <s v="CED18239"/>
        <s v="CED18364"/>
        <s v="CED18518"/>
        <s v="CED18552"/>
        <s v="CED18553"/>
        <s v="CED18564"/>
        <s v="CED18565"/>
        <s v="CED18567"/>
        <s v="CED18568"/>
        <s v="CED24-1450"/>
        <s v="CEDD5975"/>
        <s v="CEDD6259"/>
        <s v="CEDD6260"/>
        <s v="CEDD6261"/>
        <s v="CEDD6294"/>
        <s v="CEDD6295"/>
        <s v="CEDD6296"/>
        <s v="CEDD6297"/>
        <s v="CEDD6298"/>
        <s v="CEDD6299"/>
        <s v="CEDD6300"/>
        <s v="CEDD6301"/>
        <s v="CEDD6302"/>
        <s v="CEDD6303"/>
        <s v="CEDD6304"/>
        <s v="CEDD6305"/>
        <s v="CEDD6306"/>
        <s v="CEDD6307"/>
        <s v="CEDD6308"/>
        <s v="CEDD6309"/>
        <s v="CEDD6310"/>
        <s v="CEDD6311"/>
        <s v="CEDD6800"/>
        <s v="CEDD6814"/>
        <s v="CEDD6940"/>
        <s v="CEDD6976"/>
        <s v="CEDD6977"/>
        <s v="CEDD6978"/>
        <s v="CEDD6979"/>
        <s v="CEDD7011"/>
        <s v="CEDD7064"/>
        <m/>
        <s v="CEDD7056" u="1"/>
        <s v="CEDD7061" u="1"/>
        <s v="CEDD7007" u="1"/>
        <s v="CED18661" u="1"/>
        <s v="CEDD7052" u="1"/>
        <s v="CEDD7059" u="1"/>
        <s v="CED18563" u="1"/>
        <s v="CEDD7055" u="1"/>
      </sharedItems>
    </cacheField>
    <cacheField name="Formula" numFmtId="0">
      <sharedItems containsBlank="1"/>
    </cacheField>
    <cacheField name="Status" numFmtId="0">
      <sharedItems containsBlank="1" count="4">
        <s v="Inactive"/>
        <s v="Loaded"/>
        <s v="Active"/>
        <m/>
      </sharedItems>
    </cacheField>
    <cacheField name="Loadout Date" numFmtId="0">
      <sharedItems containsNonDate="0" containsDate="1" containsString="0" containsBlank="1" minDate="2026-06-29T00:00:00" maxDate="2026-07-04T00:00:00" count="4">
        <m/>
        <d v="2026-06-29T00:00:00"/>
        <d v="2026-07-02T00:00:00"/>
        <d v="2026-07-03T00:00:00"/>
      </sharedItems>
    </cacheField>
    <cacheField name="Customer Order" numFmtId="0">
      <sharedItems containsBlank="1" containsMixedTypes="1" containsNumber="1" containsInteger="1" minValue="5001" maxValue="4630018808"/>
    </cacheField>
    <cacheField name="Product Code" numFmtId="0">
      <sharedItems containsBlank="1" containsMixedTypes="1" containsNumber="1" containsInteger="1" minValue="6532" maxValue="7030"/>
    </cacheField>
    <cacheField name="Type" numFmtId="0">
      <sharedItems containsBlank="1" count="7">
        <s v="GOAT"/>
        <s v="LAMB"/>
        <s v="SHEEP"/>
        <s v="MUTTON"/>
        <s v="VEAL"/>
        <s v="OFFAL"/>
        <m/>
      </sharedItems>
    </cacheField>
    <cacheField name="Product Description" numFmtId="0">
      <sharedItems containsBlank="1"/>
    </cacheField>
    <cacheField name="Customer Name" numFmtId="0">
      <sharedItems containsBlank="1" count="37">
        <s v="CHONGQING AGRICULTURAL PRODUCTS"/>
        <s v="QINGDAO AIGREEN INT"/>
        <s v="AIMEX FOODS "/>
        <s v="CAPTAIN FOODS LTD"/>
        <s v="QUIRCH FOODS"/>
        <s v="RONALD A CHISHOLM"/>
        <s v="JINAN WELCOME INDUSTRIAL"/>
        <s v="YUEYANG XINGYUAN"/>
        <s v="TIANJIN NAVIGATOR INTERNATIONAL"/>
        <s v="SHANGHAI NEW SOURCE"/>
        <s v="DALIAN MAGIC INTERNATIONAL"/>
        <s v="CHONGQING GOUZHAN INDUSTRIAL"/>
        <s v="SHENZHEN YUESHI SUPPLY"/>
        <s v="STELLA FOODS"/>
        <s v="SURE GOOD FOODS"/>
        <s v="AGRICOMM"/>
        <s v="MIDFIELD COMMODITIES"/>
        <s v="GLOBAL MEAT COMMODITIES"/>
        <s v="SWIFT &amp; COMPANY"/>
        <s v="Jinkang Zoucheng City Livestock co.,ltd "/>
        <s v="FAKHRO CASING SARL"/>
        <s v="Landguth"/>
        <s v="TIANJIN Fulai Foodstuffs Co."/>
        <s v="BUITELAAR NL "/>
        <s v="YUCHENG YUDE"/>
        <s v="NORTH CENTRAL COMPANIES"/>
        <s v="DIBAQ"/>
        <s v="M&amp;M COMPANY FOR IMPORT"/>
        <s v="SAMEX"/>
        <s v="ALLEGRO"/>
        <s v="FAYMAN INTERNATIONAL"/>
        <s v="AUSFINE FOODS "/>
        <s v="LANEXCO AUSTRALIA"/>
        <s v="WHTESTRIPE"/>
        <m/>
        <s v="WHITESTRIPE" u="1"/>
        <s v="Bounty Foods" u="1"/>
      </sharedItems>
    </cacheField>
    <cacheField name="Price" numFmtId="167">
      <sharedItems containsString="0" containsBlank="1" containsNumber="1" minValue="0.9" maxValue="13.5"/>
    </cacheField>
    <cacheField name="Price AUD" numFmtId="167">
      <sharedItems containsString="0" containsBlank="1" containsNumber="1" minValue="0.9" maxValue="14.835164835164834"/>
    </cacheField>
    <cacheField name="Currency" numFmtId="0">
      <sharedItems containsBlank="1" count="6">
        <s v="USD"/>
        <s v="CAD"/>
        <s v="AUD"/>
        <s v="Euro"/>
        <s v="POUND"/>
        <m/>
      </sharedItems>
    </cacheField>
    <cacheField name="Amount Local Currency" numFmtId="167">
      <sharedItems containsString="0" containsBlank="1" containsNumber="1" minValue="0" maxValue="235000"/>
    </cacheField>
    <cacheField name="Amount AUD" numFmtId="167">
      <sharedItems containsString="0" containsBlank="1" containsNumber="1" minValue="0" maxValue="250000.00000000003"/>
    </cacheField>
    <cacheField name="Total QTY" numFmtId="167">
      <sharedItems containsString="0" containsBlank="1" containsNumber="1" minValue="0" maxValue="60000"/>
    </cacheField>
    <cacheField name="Weight Type" numFmtId="167">
      <sharedItems containsBlank="1"/>
    </cacheField>
    <cacheField name="Q Produced" numFmtId="167">
      <sharedItems containsString="0" containsBlank="1" containsNumber="1" minValue="0" maxValue="12500"/>
    </cacheField>
    <cacheField name="Short" numFmtId="167">
      <sharedItems containsString="0" containsBlank="1" containsNumber="1" minValue="0" maxValue="60000"/>
    </cacheField>
    <cacheField name="Comment" numFmtId="167">
      <sharedItems containsBlank="1"/>
    </cacheField>
    <cacheField name="Type2" numFmtId="167">
      <sharedItems containsBlank="1"/>
    </cacheField>
    <cacheField name="Deposit  USD" numFmtId="167">
      <sharedItems containsString="0" containsBlank="1" containsNumber="1" minValue="0" maxValue="87500"/>
    </cacheField>
    <cacheField name="Deposit AUD" numFmtId="167">
      <sharedItems containsString="0" containsBlank="1" containsNumber="1" minValue="5000" maxValue="100718.69"/>
    </cacheField>
    <cacheField name="Payment Da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e v="#N/A"/>
    <x v="0"/>
    <x v="0"/>
    <m/>
    <s v="03063"/>
    <x v="0"/>
    <s v="FROZEN BONE IN GOAT FULL CARCASE "/>
    <x v="0"/>
    <n v="4.3"/>
    <n v="6.2318840579710146"/>
    <x v="0"/>
    <n v="77400"/>
    <n v="110571.42857142858"/>
    <n v="18000"/>
    <s v="KG"/>
    <n v="0"/>
    <n v="18000"/>
    <m/>
    <s v="GOAT"/>
    <n v="0"/>
    <m/>
    <m/>
  </r>
  <r>
    <x v="0"/>
    <x v="1"/>
    <e v="#N/A"/>
    <x v="0"/>
    <x v="0"/>
    <m/>
    <s v="03063"/>
    <x v="0"/>
    <s v="FROZEN BONE IN GOAT FULL CARCASE "/>
    <x v="0"/>
    <n v="4.3"/>
    <n v="6.2318840579710146"/>
    <x v="0"/>
    <n v="77400"/>
    <n v="110571.42857142858"/>
    <n v="18000"/>
    <s v="KG"/>
    <n v="0"/>
    <n v="18000"/>
    <m/>
    <s v="GOAT"/>
    <n v="0"/>
    <m/>
    <m/>
  </r>
  <r>
    <x v="0"/>
    <x v="2"/>
    <e v="#N/A"/>
    <x v="0"/>
    <x v="0"/>
    <m/>
    <s v="03063"/>
    <x v="0"/>
    <s v="FROZEN BONE IN GOAT FULL CARCASE "/>
    <x v="0"/>
    <n v="4.3"/>
    <n v="6.2318840579710146"/>
    <x v="0"/>
    <n v="77400"/>
    <n v="110571.42857142858"/>
    <n v="18000"/>
    <s v="KG"/>
    <n v="0"/>
    <n v="18000"/>
    <m/>
    <s v="GOAT"/>
    <n v="0"/>
    <m/>
    <m/>
  </r>
  <r>
    <x v="0"/>
    <x v="3"/>
    <e v="#N/A"/>
    <x v="0"/>
    <x v="0"/>
    <m/>
    <s v="GC3200"/>
    <x v="0"/>
    <s v="FROZEN BONE IN GOAT CARCASE PIECES 6 WAY CUT 12-16KG"/>
    <x v="1"/>
    <n v="3.85"/>
    <n v="5.579710144927537"/>
    <x v="0"/>
    <n v="96250"/>
    <n v="137500"/>
    <n v="25000"/>
    <s v="KG"/>
    <n v="0"/>
    <n v="25000"/>
    <m/>
    <s v="GOAT"/>
    <n v="0"/>
    <m/>
    <m/>
  </r>
  <r>
    <x v="0"/>
    <x v="4"/>
    <e v="#N/A"/>
    <x v="0"/>
    <x v="0"/>
    <m/>
    <s v="G3226"/>
    <x v="0"/>
    <s v="BONE IN GOAT CARCASE PIECES 6PC IW 365 f"/>
    <x v="2"/>
    <n v="6.15"/>
    <n v="6.7582417582417582"/>
    <x v="1"/>
    <n v="147600"/>
    <n v="162197.8021978022"/>
    <n v="24000"/>
    <s v="KG"/>
    <n v="0"/>
    <n v="24000"/>
    <m/>
    <s v="GOAT"/>
    <n v="0"/>
    <m/>
    <m/>
  </r>
  <r>
    <x v="0"/>
    <x v="5"/>
    <e v="#N/A"/>
    <x v="0"/>
    <x v="0"/>
    <m/>
    <s v="G3226"/>
    <x v="0"/>
    <s v="BONE IN GOAT CARCASE PIECES 6PC IW 365 f"/>
    <x v="2"/>
    <n v="6.15"/>
    <n v="6.7582417582417582"/>
    <x v="1"/>
    <n v="76875"/>
    <n v="84478.021978021978"/>
    <n v="12500"/>
    <s v="KG"/>
    <n v="0"/>
    <n v="12500"/>
    <m/>
    <s v="GOAT"/>
    <n v="0"/>
    <m/>
    <m/>
  </r>
  <r>
    <x v="0"/>
    <x v="5"/>
    <e v="#N/A"/>
    <x v="0"/>
    <x v="0"/>
    <m/>
    <s v="L1026"/>
    <x v="1"/>
    <s v="BONE IN  LAMB LEG  IW 730 usa f"/>
    <x v="2"/>
    <n v="9.0500000000000007"/>
    <n v="9.9450549450549453"/>
    <x v="1"/>
    <n v="113125.00000000001"/>
    <n v="124313.18681318683"/>
    <n v="12500"/>
    <s v="KG"/>
    <n v="0"/>
    <n v="12500"/>
    <m/>
    <s v="LAMB"/>
    <n v="0"/>
    <m/>
    <m/>
  </r>
  <r>
    <x v="0"/>
    <x v="6"/>
    <e v="#N/A"/>
    <x v="0"/>
    <x v="0"/>
    <m/>
    <s v="G3222"/>
    <x v="0"/>
    <s v="2 BONE IN GOAT FULL CARCASE IW U-12 12PC 365 f"/>
    <x v="3"/>
    <n v="6.1"/>
    <n v="6.7032967032967026"/>
    <x v="1"/>
    <n v="21350"/>
    <n v="23461.538461538461"/>
    <n v="3500"/>
    <s v="KG"/>
    <n v="0"/>
    <n v="3500"/>
    <m/>
    <s v="GOAT"/>
    <n v="0"/>
    <m/>
    <m/>
  </r>
  <r>
    <x v="0"/>
    <x v="6"/>
    <e v="#N/A"/>
    <x v="0"/>
    <x v="0"/>
    <m/>
    <s v="G3226"/>
    <x v="0"/>
    <s v="BONE IN GOAT CARCASE PIECES 6PC IW 365 f"/>
    <x v="3"/>
    <n v="6.1"/>
    <n v="6.7032967032967026"/>
    <x v="1"/>
    <n v="21350"/>
    <n v="23461.538461538461"/>
    <n v="3500"/>
    <s v="KG"/>
    <n v="0"/>
    <n v="3500"/>
    <m/>
    <s v="GOAT"/>
    <n v="0"/>
    <m/>
    <m/>
  </r>
  <r>
    <x v="0"/>
    <x v="6"/>
    <e v="#N/A"/>
    <x v="0"/>
    <x v="0"/>
    <m/>
    <s v="L1058"/>
    <x v="1"/>
    <s v="BONELESS LAMB LEG CHUMP ON SHANK OFF IW/VAC f"/>
    <x v="3"/>
    <n v="13.5"/>
    <n v="14.835164835164834"/>
    <x v="1"/>
    <n v="101250"/>
    <n v="111263.73626373625"/>
    <n v="7500"/>
    <s v="KG"/>
    <n v="0"/>
    <n v="7500"/>
    <m/>
    <s v="LAMB"/>
    <n v="0"/>
    <m/>
    <m/>
  </r>
  <r>
    <x v="0"/>
    <x v="7"/>
    <e v="#N/A"/>
    <x v="0"/>
    <x v="0"/>
    <m/>
    <s v="L1341"/>
    <x v="1"/>
    <s v="BONE IN LAMB HINDSHANK"/>
    <x v="4"/>
    <n v="3.05"/>
    <n v="4.4202898550724639"/>
    <x v="0"/>
    <n v="73200"/>
    <n v="104571.42857142858"/>
    <n v="24000"/>
    <s v="KG"/>
    <n v="0"/>
    <n v="24000"/>
    <m/>
    <s v="LAMB"/>
    <n v="0"/>
    <m/>
    <m/>
  </r>
  <r>
    <x v="0"/>
    <x v="8"/>
    <e v="#N/A"/>
    <x v="0"/>
    <x v="0"/>
    <m/>
    <s v="M2221N"/>
    <x v="2"/>
    <s v="BONE IN MUTTON PIECES HALF CARCASE 730 f Arabic"/>
    <x v="5"/>
    <n v="5.6"/>
    <n v="8.1159420289855078"/>
    <x v="0"/>
    <n v="123199.99999999999"/>
    <n v="176000"/>
    <n v="22000"/>
    <s v="KG"/>
    <m/>
    <n v="22000"/>
    <m/>
    <s v="SHEEP"/>
    <n v="0"/>
    <m/>
    <m/>
  </r>
  <r>
    <x v="0"/>
    <x v="9"/>
    <e v="#N/A"/>
    <x v="1"/>
    <x v="1"/>
    <m/>
    <s v="03169"/>
    <x v="3"/>
    <s v="FROZEN BONE IN MUTTON CARCASE"/>
    <x v="6"/>
    <n v="6.7"/>
    <n v="9.7101449275362324"/>
    <x v="0"/>
    <n v="103871.44"/>
    <n v="148387.77142857143"/>
    <n v="15503.2"/>
    <s v="KG"/>
    <m/>
    <n v="15503.2"/>
    <m/>
    <s v="MUTTON"/>
    <n v="0"/>
    <m/>
    <m/>
  </r>
  <r>
    <x v="0"/>
    <x v="10"/>
    <e v="#N/A"/>
    <x v="0"/>
    <x v="0"/>
    <m/>
    <s v="GC3200"/>
    <x v="0"/>
    <s v="FROZEN BONE IN GOAT CARCASE PIECES 6 WAY CUT 12-16KG"/>
    <x v="7"/>
    <n v="5.7"/>
    <n v="8.2608695652173925"/>
    <x v="0"/>
    <n v="142500"/>
    <n v="203571.42857142858"/>
    <n v="25000"/>
    <s v="KG"/>
    <n v="0"/>
    <n v="25000"/>
    <m/>
    <s v="GOAT"/>
    <n v="71250"/>
    <n v="100718.69"/>
    <m/>
  </r>
  <r>
    <x v="0"/>
    <x v="11"/>
    <e v="#N/A"/>
    <x v="0"/>
    <x v="0"/>
    <m/>
    <s v="GC3200"/>
    <x v="0"/>
    <s v="FROZEN BONE IN GOAT CARCASE PIECES 6 WAY CUT 12-16KG"/>
    <x v="7"/>
    <n v="5.7"/>
    <n v="8.2608695652173925"/>
    <x v="0"/>
    <n v="142500"/>
    <n v="203571.42857142858"/>
    <n v="25000"/>
    <s v="KG"/>
    <n v="0"/>
    <n v="25000"/>
    <m/>
    <s v="GOAT"/>
    <n v="71250"/>
    <n v="100718.69"/>
    <m/>
  </r>
  <r>
    <x v="0"/>
    <x v="12"/>
    <e v="#N/A"/>
    <x v="1"/>
    <x v="2"/>
    <m/>
    <s v="MC2217C"/>
    <x v="2"/>
    <s v="FROZEN BONE IN MUTTON CARCASE PIECES 3 WAY CUT"/>
    <x v="8"/>
    <n v="6.7"/>
    <n v="9.7101449275362324"/>
    <x v="0"/>
    <n v="154100"/>
    <n v="220142.85714285716"/>
    <n v="23000"/>
    <s v="KG"/>
    <n v="0"/>
    <n v="23000"/>
    <m/>
    <s v="SHEEP"/>
    <n v="77050"/>
    <n v="100718.69"/>
    <m/>
  </r>
  <r>
    <x v="0"/>
    <x v="13"/>
    <e v="#N/A"/>
    <x v="2"/>
    <x v="0"/>
    <m/>
    <s v="MC2207"/>
    <x v="2"/>
    <s v="FROZEN BONE IN MUTTON CARCASE PIECES 6 WAY CUT"/>
    <x v="9"/>
    <n v="7"/>
    <n v="10.144927536231885"/>
    <x v="0"/>
    <n v="175000"/>
    <n v="250000.00000000003"/>
    <n v="25000"/>
    <s v="KG"/>
    <n v="0"/>
    <n v="25000"/>
    <m/>
    <s v="SHEEP"/>
    <n v="87500"/>
    <n v="100718.69"/>
    <m/>
  </r>
  <r>
    <x v="0"/>
    <x v="14"/>
    <e v="#N/A"/>
    <x v="2"/>
    <x v="0"/>
    <m/>
    <s v="MC2207"/>
    <x v="2"/>
    <s v="FROZEN BONE IN MUTTON CARCASE PIECES 6 WAY CUT"/>
    <x v="9"/>
    <n v="7"/>
    <n v="10.144927536231885"/>
    <x v="0"/>
    <n v="175000"/>
    <n v="250000.00000000003"/>
    <n v="25000"/>
    <s v="KG"/>
    <n v="0"/>
    <n v="25000"/>
    <m/>
    <s v="SHEEP"/>
    <n v="87500"/>
    <n v="100718.69"/>
    <m/>
  </r>
  <r>
    <x v="0"/>
    <x v="15"/>
    <e v="#N/A"/>
    <x v="2"/>
    <x v="0"/>
    <m/>
    <s v="MC2217C"/>
    <x v="2"/>
    <s v="FROZEN BONE IN MUTTON CARCASE PIECES 3 WAY CUT"/>
    <x v="10"/>
    <n v="6.7"/>
    <n v="9.7101449275362324"/>
    <x v="0"/>
    <n v="147400"/>
    <n v="210571.42857142858"/>
    <n v="22000"/>
    <s v="KG"/>
    <n v="0"/>
    <n v="22000"/>
    <m/>
    <s v="SHEEP"/>
    <n v="73700"/>
    <n v="100718.69"/>
    <m/>
  </r>
  <r>
    <x v="0"/>
    <x v="16"/>
    <e v="#N/A"/>
    <x v="2"/>
    <x v="0"/>
    <m/>
    <s v="MC2207"/>
    <x v="2"/>
    <s v="FROZEN BONE IN MUTTON CARCASE PIECES 6 WAY CUT"/>
    <x v="10"/>
    <n v="6.95"/>
    <n v="10.072463768115943"/>
    <x v="0"/>
    <n v="173750"/>
    <n v="248214.28571428574"/>
    <n v="25000"/>
    <s v="KG"/>
    <n v="0"/>
    <n v="25000"/>
    <m/>
    <s v="SHEEP"/>
    <n v="86875"/>
    <n v="100718.69"/>
    <m/>
  </r>
  <r>
    <x v="0"/>
    <x v="17"/>
    <e v="#N/A"/>
    <x v="2"/>
    <x v="0"/>
    <m/>
    <s v="MC2207"/>
    <x v="2"/>
    <s v="FROZEN BONE IN MUTTON CARCASE PIECES 6 WAY CUT"/>
    <x v="10"/>
    <n v="6.95"/>
    <n v="10.072463768115943"/>
    <x v="0"/>
    <n v="173750"/>
    <n v="248214.28571428574"/>
    <n v="25000"/>
    <s v="KG"/>
    <n v="0"/>
    <n v="25000"/>
    <m/>
    <s v="SHEEP"/>
    <n v="86875"/>
    <n v="100718.69"/>
    <m/>
  </r>
  <r>
    <x v="0"/>
    <x v="18"/>
    <e v="#N/A"/>
    <x v="2"/>
    <x v="0"/>
    <m/>
    <s v="GC3200"/>
    <x v="0"/>
    <s v="FROZEN BONE IN GOAT CARCASE PIECES 6 WAY CUT 12-16KG"/>
    <x v="11"/>
    <n v="6.9"/>
    <n v="10.000000000000002"/>
    <x v="0"/>
    <n v="57497.700000000004"/>
    <n v="82139.571428571435"/>
    <n v="8333"/>
    <s v="KG"/>
    <n v="0"/>
    <n v="8333"/>
    <m/>
    <s v="GOAT"/>
    <n v="28748.850000000002"/>
    <n v="100718.69"/>
    <m/>
  </r>
  <r>
    <x v="0"/>
    <x v="18"/>
    <e v="#N/A"/>
    <x v="2"/>
    <x v="0"/>
    <m/>
    <s v="GC3201"/>
    <x v="0"/>
    <s v="FROZEN BONE IN GOAT CARCASE PIECES 6 WAY CUT U12 KG "/>
    <x v="11"/>
    <n v="6.9"/>
    <n v="10.000000000000002"/>
    <x v="0"/>
    <n v="57497.700000000004"/>
    <n v="82139.571428571435"/>
    <n v="8333"/>
    <s v="KG"/>
    <n v="0"/>
    <n v="8333"/>
    <m/>
    <s v="GOAT"/>
    <n v="28748.850000000002"/>
    <n v="100718.69"/>
    <m/>
  </r>
  <r>
    <x v="0"/>
    <x v="18"/>
    <e v="#N/A"/>
    <x v="2"/>
    <x v="0"/>
    <m/>
    <s v="GC3203"/>
    <x v="0"/>
    <s v="FROZEN BONE IN GOAT CARCASE 6 WAY CUT 16-20KG"/>
    <x v="11"/>
    <n v="6.9"/>
    <n v="10.000000000000002"/>
    <x v="0"/>
    <n v="57497.700000000004"/>
    <n v="82139.571428571435"/>
    <n v="8333"/>
    <s v="KG"/>
    <n v="0"/>
    <n v="8333"/>
    <m/>
    <s v="GOAT"/>
    <n v="28748.850000000002"/>
    <n v="100718.69"/>
    <m/>
  </r>
  <r>
    <x v="0"/>
    <x v="19"/>
    <e v="#N/A"/>
    <x v="2"/>
    <x v="0"/>
    <m/>
    <s v="GC3200"/>
    <x v="0"/>
    <s v="FROZEN BONE IN GOAT CARCASE PIECES 6 WAY CUT 12-16KG"/>
    <x v="11"/>
    <n v="6.9"/>
    <n v="10.000000000000002"/>
    <x v="0"/>
    <n v="57497.700000000004"/>
    <n v="82139.571428571435"/>
    <n v="8333"/>
    <s v="KG"/>
    <n v="0"/>
    <n v="8333"/>
    <m/>
    <s v="GOAT"/>
    <n v="28748.850000000002"/>
    <n v="100718.69"/>
    <m/>
  </r>
  <r>
    <x v="0"/>
    <x v="19"/>
    <e v="#N/A"/>
    <x v="2"/>
    <x v="0"/>
    <m/>
    <s v="GC3201"/>
    <x v="0"/>
    <s v="FROZEN BONE IN GOAT CARCASE PIECES 6 WAY CUT U12 KG "/>
    <x v="11"/>
    <n v="6.9"/>
    <n v="10.000000000000002"/>
    <x v="0"/>
    <n v="57497.700000000004"/>
    <n v="82139.571428571435"/>
    <n v="8333"/>
    <s v="KG"/>
    <n v="0"/>
    <n v="8333"/>
    <m/>
    <s v="GOAT"/>
    <n v="28748.850000000002"/>
    <n v="100718.69"/>
    <m/>
  </r>
  <r>
    <x v="0"/>
    <x v="19"/>
    <e v="#N/A"/>
    <x v="2"/>
    <x v="0"/>
    <m/>
    <s v="GC3203"/>
    <x v="0"/>
    <s v="FROZEN BONE IN GOAT CARCASE 6 WAY CUT 16-20KG"/>
    <x v="11"/>
    <n v="6.9"/>
    <n v="10.000000000000002"/>
    <x v="0"/>
    <n v="57497.700000000004"/>
    <n v="82139.571428571435"/>
    <n v="8333"/>
    <s v="KG"/>
    <n v="0"/>
    <n v="8333"/>
    <m/>
    <s v="GOAT"/>
    <n v="28748.850000000002"/>
    <n v="100718.69"/>
    <m/>
  </r>
  <r>
    <x v="0"/>
    <x v="20"/>
    <e v="#N/A"/>
    <x v="2"/>
    <x v="0"/>
    <m/>
    <s v="GC3200"/>
    <x v="0"/>
    <s v="FROZEN BONE IN GOAT CARCASE PIECES 6 WAY CUT 12-16KG"/>
    <x v="12"/>
    <n v="6.9"/>
    <n v="10.000000000000002"/>
    <x v="0"/>
    <n v="57497.700000000004"/>
    <n v="82139.571428571435"/>
    <n v="8333"/>
    <s v="KG"/>
    <n v="0"/>
    <n v="8333"/>
    <m/>
    <s v="GOAT"/>
    <n v="28748.850000000002"/>
    <n v="100718.69"/>
    <m/>
  </r>
  <r>
    <x v="0"/>
    <x v="20"/>
    <e v="#N/A"/>
    <x v="2"/>
    <x v="0"/>
    <m/>
    <s v="GC3201"/>
    <x v="0"/>
    <s v="FROZEN BONE IN GOAT CARCASE PIECES 6 WAY CUT U12 KG "/>
    <x v="12"/>
    <n v="6.9"/>
    <n v="10.000000000000002"/>
    <x v="0"/>
    <n v="57497.700000000004"/>
    <n v="82139.571428571435"/>
    <n v="8333"/>
    <s v="KG"/>
    <n v="0"/>
    <n v="8333"/>
    <m/>
    <s v="GOAT"/>
    <n v="28748.850000000002"/>
    <n v="100718.69"/>
    <m/>
  </r>
  <r>
    <x v="0"/>
    <x v="20"/>
    <e v="#N/A"/>
    <x v="2"/>
    <x v="0"/>
    <m/>
    <s v="GC3203"/>
    <x v="0"/>
    <s v="FROZEN BONE IN GOAT CARCASE 6 WAY CUT 16-20KG"/>
    <x v="12"/>
    <n v="6.9"/>
    <n v="10.000000000000002"/>
    <x v="0"/>
    <n v="57497.700000000004"/>
    <n v="82139.571428571435"/>
    <n v="8333"/>
    <s v="KG"/>
    <n v="0"/>
    <n v="8333"/>
    <m/>
    <s v="GOAT"/>
    <n v="28748.850000000002"/>
    <n v="100718.69"/>
    <m/>
  </r>
  <r>
    <x v="0"/>
    <x v="21"/>
    <e v="#N/A"/>
    <x v="2"/>
    <x v="0"/>
    <m/>
    <s v="03153"/>
    <x v="0"/>
    <s v="FROZEN BONE IN GOAT CARCASE"/>
    <x v="11"/>
    <n v="7.1"/>
    <n v="10.289855072463768"/>
    <x v="0"/>
    <n v="120700"/>
    <n v="172428.57142857145"/>
    <n v="17000"/>
    <s v="KG"/>
    <n v="0"/>
    <n v="17000"/>
    <m/>
    <s v="GOAT"/>
    <n v="60350"/>
    <n v="100718.69"/>
    <m/>
  </r>
  <r>
    <x v="0"/>
    <x v="22"/>
    <e v="#N/A"/>
    <x v="2"/>
    <x v="0"/>
    <m/>
    <s v="MC2217C"/>
    <x v="2"/>
    <s v="FROZEN BONE IN MUTTON CARCASE PIECES 3 WAY CUT"/>
    <x v="12"/>
    <n v="6.8"/>
    <n v="9.8550724637681171"/>
    <x v="0"/>
    <n v="170000"/>
    <n v="242857.14285714287"/>
    <n v="25000"/>
    <s v="KG"/>
    <n v="0"/>
    <n v="25000"/>
    <m/>
    <s v="SHEEP"/>
    <n v="85000"/>
    <n v="100718.69"/>
    <m/>
  </r>
  <r>
    <x v="0"/>
    <x v="23"/>
    <e v="#N/A"/>
    <x v="2"/>
    <x v="0"/>
    <m/>
    <s v="MC2217C"/>
    <x v="2"/>
    <s v="FROZEN BONE IN MUTTON CARCASE PIECES 3 WAY CUT"/>
    <x v="12"/>
    <n v="6.8"/>
    <n v="9.8550724637681171"/>
    <x v="0"/>
    <n v="170000"/>
    <n v="242857.14285714287"/>
    <n v="25000"/>
    <s v="KG"/>
    <n v="0"/>
    <n v="25000"/>
    <m/>
    <s v="SHEEP"/>
    <n v="85000"/>
    <n v="100718.69"/>
    <m/>
  </r>
  <r>
    <x v="0"/>
    <x v="24"/>
    <e v="#N/A"/>
    <x v="2"/>
    <x v="0"/>
    <m/>
    <s v="03153"/>
    <x v="0"/>
    <s v="FROZEN BONE IN GOAT CARCASE"/>
    <x v="11"/>
    <n v="6.95"/>
    <n v="10.072463768115943"/>
    <x v="0"/>
    <n v="111200"/>
    <n v="158857.14285714287"/>
    <n v="16000"/>
    <s v="KG"/>
    <n v="0"/>
    <n v="16000"/>
    <m/>
    <s v="GOAT"/>
    <n v="55600"/>
    <n v="100718.69"/>
    <m/>
  </r>
  <r>
    <x v="0"/>
    <x v="25"/>
    <e v="#N/A"/>
    <x v="2"/>
    <x v="0"/>
    <m/>
    <s v="03153"/>
    <x v="0"/>
    <s v="FROZEN BONE IN GOAT CARCASE"/>
    <x v="11"/>
    <n v="7"/>
    <n v="10.144927536231885"/>
    <x v="0"/>
    <n v="112000"/>
    <n v="160000"/>
    <n v="16000"/>
    <s v="KG"/>
    <n v="0"/>
    <n v="16000"/>
    <m/>
    <s v="GOAT"/>
    <n v="56000"/>
    <n v="100718.69"/>
    <m/>
  </r>
  <r>
    <x v="0"/>
    <x v="26"/>
    <e v="#N/A"/>
    <x v="0"/>
    <x v="0"/>
    <s v="PC79747"/>
    <s v="GC3207"/>
    <x v="0"/>
    <s v="FROZEN BONE IN GOAT CARCASE PIECES 6 WAY CUT 24-32KG"/>
    <x v="13"/>
    <n v="5.75"/>
    <n v="5.75"/>
    <x v="2"/>
    <n v="143750"/>
    <n v="143750"/>
    <n v="25000"/>
    <s v="KG"/>
    <n v="0"/>
    <n v="25000"/>
    <m/>
    <s v="GOAT"/>
    <n v="0"/>
    <m/>
    <m/>
  </r>
  <r>
    <x v="0"/>
    <x v="27"/>
    <e v="#N/A"/>
    <x v="0"/>
    <x v="0"/>
    <s v="PC79748"/>
    <s v="GC3208"/>
    <x v="0"/>
    <s v="FROZEN BONE IN GOAT CARCASE PIECES 6 WAY CUT 16-24KG"/>
    <x v="13"/>
    <n v="5.75"/>
    <n v="5.75"/>
    <x v="2"/>
    <n v="143750"/>
    <n v="143750"/>
    <n v="25000"/>
    <s v="KG"/>
    <n v="0"/>
    <n v="25000"/>
    <m/>
    <s v="GOAT"/>
    <n v="0"/>
    <m/>
    <m/>
  </r>
  <r>
    <x v="0"/>
    <x v="28"/>
    <e v="#N/A"/>
    <x v="0"/>
    <x v="0"/>
    <s v="PC79749"/>
    <s v="GC3200"/>
    <x v="0"/>
    <s v="FROZEN BONE IN GOAT CARCASE PIECES 6 WAY CUT 12-16KG"/>
    <x v="13"/>
    <n v="5.75"/>
    <n v="5.75"/>
    <x v="2"/>
    <n v="143750"/>
    <n v="143750"/>
    <n v="25000"/>
    <s v="KG"/>
    <n v="0"/>
    <n v="25000"/>
    <m/>
    <s v="GOAT"/>
    <n v="0"/>
    <m/>
    <m/>
  </r>
  <r>
    <x v="0"/>
    <x v="29"/>
    <e v="#N/A"/>
    <x v="0"/>
    <x v="0"/>
    <s v="PC82176"/>
    <s v="M2202D"/>
    <x v="2"/>
    <s v="BONE IN MUTTON CARCASE 6 CUT LP"/>
    <x v="13"/>
    <n v="9.4"/>
    <n v="9.4"/>
    <x v="2"/>
    <n v="235000"/>
    <n v="235000"/>
    <n v="25000"/>
    <s v="KG"/>
    <n v="0"/>
    <n v="25000"/>
    <m/>
    <s v="SHEEP"/>
    <n v="0"/>
    <m/>
    <m/>
  </r>
  <r>
    <x v="0"/>
    <x v="30"/>
    <e v="#N/A"/>
    <x v="0"/>
    <x v="0"/>
    <s v="PC82177"/>
    <s v="M2202D"/>
    <x v="2"/>
    <s v="BONE IN MUTTON CARCASE 6 CUT LP"/>
    <x v="13"/>
    <n v="9.4"/>
    <n v="9.4"/>
    <x v="2"/>
    <n v="235000"/>
    <n v="235000"/>
    <n v="25000"/>
    <s v="KG"/>
    <n v="0"/>
    <n v="25000"/>
    <m/>
    <s v="SHEEP"/>
    <n v="0"/>
    <m/>
    <m/>
  </r>
  <r>
    <x v="0"/>
    <x v="30"/>
    <e v="#N/A"/>
    <x v="0"/>
    <x v="0"/>
    <s v="PC82177"/>
    <s v="M2219"/>
    <x v="2"/>
    <s v="BONE IN MUTTON CARCASE PIECES LP 730 f H"/>
    <x v="13"/>
    <n v="9.4"/>
    <n v="9.4"/>
    <x v="2"/>
    <n v="0"/>
    <n v="0"/>
    <n v="0"/>
    <s v="KG"/>
    <n v="0"/>
    <n v="0"/>
    <m/>
    <s v="SHEEP"/>
    <n v="0"/>
    <m/>
    <m/>
  </r>
  <r>
    <x v="0"/>
    <x v="31"/>
    <e v="#N/A"/>
    <x v="0"/>
    <x v="0"/>
    <s v="PC82311"/>
    <s v="M2222"/>
    <x v="2"/>
    <s v="BONE IN MUTTON PIECES HALF CARCASE 365 Arabic"/>
    <x v="13"/>
    <n v="8"/>
    <n v="8"/>
    <x v="2"/>
    <n v="176000"/>
    <n v="176000"/>
    <n v="22000"/>
    <s v="KG"/>
    <n v="0"/>
    <n v="22000"/>
    <m/>
    <s v="SHEEP"/>
    <n v="0"/>
    <m/>
    <m/>
  </r>
  <r>
    <x v="0"/>
    <x v="32"/>
    <e v="#N/A"/>
    <x v="2"/>
    <x v="0"/>
    <n v="515674"/>
    <s v="G3222"/>
    <x v="0"/>
    <s v="2 BONE IN GOAT FULL CARCASE IW U-12 12PC 365 f"/>
    <x v="14"/>
    <n v="8.4"/>
    <n v="8.4"/>
    <x v="2"/>
    <n v="69997.2"/>
    <n v="69997.2"/>
    <n v="8333"/>
    <s v="KG"/>
    <n v="0"/>
    <n v="8333"/>
    <m/>
    <s v="GOAT"/>
    <n v="0"/>
    <m/>
    <m/>
  </r>
  <r>
    <x v="0"/>
    <x v="32"/>
    <e v="#N/A"/>
    <x v="2"/>
    <x v="0"/>
    <n v="515674"/>
    <s v="G3225"/>
    <x v="0"/>
    <s v="BONE IN GOAT CARCASE PIECES 6PC IW 365 f"/>
    <x v="14"/>
    <n v="8.4"/>
    <n v="8.4"/>
    <x v="2"/>
    <n v="69997.2"/>
    <n v="69997.2"/>
    <n v="8333"/>
    <s v="KG"/>
    <n v="0"/>
    <n v="8333"/>
    <m/>
    <s v="GOAT"/>
    <n v="0"/>
    <m/>
    <m/>
  </r>
  <r>
    <x v="0"/>
    <x v="32"/>
    <e v="#N/A"/>
    <x v="2"/>
    <x v="0"/>
    <n v="515674"/>
    <s v="G3226"/>
    <x v="0"/>
    <s v="BONE IN GOAT CARCASE PIECES 6PC IW 365 f"/>
    <x v="14"/>
    <n v="8.4"/>
    <n v="8.4"/>
    <x v="2"/>
    <n v="69997.2"/>
    <n v="69997.2"/>
    <n v="8333"/>
    <s v="KG"/>
    <n v="0"/>
    <n v="8333"/>
    <m/>
    <s v="GOAT"/>
    <n v="0"/>
    <m/>
    <m/>
  </r>
  <r>
    <x v="1"/>
    <x v="33"/>
    <e v="#N/A"/>
    <x v="2"/>
    <x v="0"/>
    <n v="11966"/>
    <n v="6532"/>
    <x v="4"/>
    <s v="VEAL LIVER"/>
    <x v="15"/>
    <n v="1.9"/>
    <n v="1.9"/>
    <x v="2"/>
    <n v="28500"/>
    <n v="28500"/>
    <n v="15000"/>
    <s v="KG"/>
    <n v="0"/>
    <n v="15000"/>
    <m/>
    <s v="VEAL"/>
    <n v="0"/>
    <m/>
    <m/>
  </r>
  <r>
    <x v="0"/>
    <x v="34"/>
    <e v="#N/A"/>
    <x v="2"/>
    <x v="0"/>
    <s v="PO12455"/>
    <s v="V4808A"/>
    <x v="4"/>
    <s v="BONE IN VEAL LEG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4"/>
    <e v="#N/A"/>
    <x v="2"/>
    <x v="0"/>
    <s v="PO12455"/>
    <s v="V4808B"/>
    <x v="4"/>
    <s v="BONE IN VEAL LOIN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4"/>
    <e v="#N/A"/>
    <x v="2"/>
    <x v="0"/>
    <s v="PO12455"/>
    <s v="V4808C"/>
    <x v="4"/>
    <s v="BONE IN VEAL FOREQUARTER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4"/>
    <e v="#N/A"/>
    <x v="2"/>
    <x v="0"/>
    <s v="PO12455"/>
    <s v="V4808D"/>
    <x v="4"/>
    <s v="BONE IN VEAL FLAP M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5"/>
    <e v="#N/A"/>
    <x v="2"/>
    <x v="0"/>
    <s v="PO12456"/>
    <s v="V4808A"/>
    <x v="4"/>
    <s v="BONE IN VEAL LEG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5"/>
    <e v="#N/A"/>
    <x v="2"/>
    <x v="0"/>
    <s v="PO12456"/>
    <s v="V4808B"/>
    <x v="4"/>
    <s v="BONE IN VEAL LOIN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5"/>
    <e v="#N/A"/>
    <x v="2"/>
    <x v="0"/>
    <s v="PO12456"/>
    <s v="V4808C"/>
    <x v="4"/>
    <s v="BONE IN VEAL FOREQUARTER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5"/>
    <e v="#N/A"/>
    <x v="2"/>
    <x v="0"/>
    <s v="PO12456"/>
    <s v="V4808D"/>
    <x v="4"/>
    <s v="BONE IN VEAL FLAP M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6"/>
    <e v="#N/A"/>
    <x v="2"/>
    <x v="0"/>
    <s v="PO12457"/>
    <s v="V4808A"/>
    <x v="4"/>
    <s v="BONE IN VEAL LEG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6"/>
    <e v="#N/A"/>
    <x v="2"/>
    <x v="0"/>
    <s v="PO12457"/>
    <s v="V4808B"/>
    <x v="4"/>
    <s v="BONE IN VEAL LOIN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6"/>
    <e v="#N/A"/>
    <x v="2"/>
    <x v="0"/>
    <s v="PO12457"/>
    <s v="V4808C"/>
    <x v="4"/>
    <s v="BONE IN VEAL FOREQUARTER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6"/>
    <e v="#N/A"/>
    <x v="2"/>
    <x v="0"/>
    <s v="PO12457"/>
    <s v="V4808D"/>
    <x v="4"/>
    <s v="BONE IN VEAL FLAP M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7"/>
    <e v="#N/A"/>
    <x v="2"/>
    <x v="0"/>
    <s v="PO12449"/>
    <s v="V4808A"/>
    <x v="4"/>
    <s v="BONE IN VEAL LEG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7"/>
    <e v="#N/A"/>
    <x v="2"/>
    <x v="0"/>
    <s v="PO12449"/>
    <s v="V4808B"/>
    <x v="4"/>
    <s v="BONE IN VEAL LOIN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7"/>
    <e v="#N/A"/>
    <x v="2"/>
    <x v="0"/>
    <s v="PO12449"/>
    <s v="V4808C"/>
    <x v="4"/>
    <s v="BONE IN VEAL FOREQUARTER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7"/>
    <e v="#N/A"/>
    <x v="2"/>
    <x v="0"/>
    <s v="PO12449"/>
    <s v="V4808D"/>
    <x v="4"/>
    <s v="BONE IN VEAL FLAP M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8"/>
    <e v="#N/A"/>
    <x v="2"/>
    <x v="0"/>
    <s v="PO12450"/>
    <s v="V4808A"/>
    <x v="4"/>
    <s v="BONE IN VEAL LEG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8"/>
    <e v="#N/A"/>
    <x v="2"/>
    <x v="0"/>
    <s v="PO12450"/>
    <s v="V4808B"/>
    <x v="4"/>
    <s v="BONE IN VEAL LOIN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8"/>
    <e v="#N/A"/>
    <x v="2"/>
    <x v="0"/>
    <s v="PO12450"/>
    <s v="V4808C"/>
    <x v="4"/>
    <s v="BONE IN VEAL FOREQUARTER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8"/>
    <e v="#N/A"/>
    <x v="2"/>
    <x v="0"/>
    <s v="PO12450"/>
    <s v="V4808D"/>
    <x v="4"/>
    <s v="BONE IN VEAL FLAP M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9"/>
    <e v="#N/A"/>
    <x v="2"/>
    <x v="0"/>
    <s v="PO12451"/>
    <s v="V4808A"/>
    <x v="4"/>
    <s v="BONE IN VEAL LEG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9"/>
    <e v="#N/A"/>
    <x v="2"/>
    <x v="0"/>
    <s v="PO12451"/>
    <s v="V4808B"/>
    <x v="4"/>
    <s v="BONE IN VEAL LOIN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9"/>
    <e v="#N/A"/>
    <x v="2"/>
    <x v="0"/>
    <s v="PO12451"/>
    <s v="V4808C"/>
    <x v="4"/>
    <s v="BONE IN VEAL FOREQUARTER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39"/>
    <e v="#N/A"/>
    <x v="2"/>
    <x v="0"/>
    <s v="PO12451"/>
    <s v="V4808D"/>
    <x v="4"/>
    <s v="BONE IN VEAL FLAP M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40"/>
    <e v="#N/A"/>
    <x v="2"/>
    <x v="0"/>
    <s v="PO12452"/>
    <s v="V4808A"/>
    <x v="4"/>
    <s v="BONE IN VEAL LEG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40"/>
    <e v="#N/A"/>
    <x v="2"/>
    <x v="0"/>
    <s v="PO12452"/>
    <s v="V4808B"/>
    <x v="4"/>
    <s v="BONE IN VEAL LOIN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40"/>
    <e v="#N/A"/>
    <x v="2"/>
    <x v="0"/>
    <s v="PO12452"/>
    <s v="V4808C"/>
    <x v="4"/>
    <s v="BONE IN VEAL FOREQUARTER I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40"/>
    <e v="#N/A"/>
    <x v="2"/>
    <x v="0"/>
    <s v="PO12452"/>
    <s v="V4808D"/>
    <x v="4"/>
    <s v="BONE IN VEAL FLAP MW 365 f"/>
    <x v="15"/>
    <n v="6.85"/>
    <n v="6.85"/>
    <x v="2"/>
    <n v="42812.5"/>
    <n v="42812.5"/>
    <n v="6250"/>
    <s v="KG"/>
    <n v="0"/>
    <n v="6250"/>
    <m/>
    <s v="VEAL"/>
    <n v="0"/>
    <m/>
    <m/>
  </r>
  <r>
    <x v="0"/>
    <x v="41"/>
    <e v="#N/A"/>
    <x v="2"/>
    <x v="0"/>
    <s v="PC83299"/>
    <s v="GC3200"/>
    <x v="0"/>
    <s v="FROZEN BONE IN GOAT CARCASE PIECES 6 WAY CUT 12-16KG"/>
    <x v="13"/>
    <n v="9.5"/>
    <n v="9.5"/>
    <x v="2"/>
    <n v="79163.5"/>
    <n v="79163.5"/>
    <n v="8333"/>
    <s v="KG"/>
    <n v="0"/>
    <n v="8333"/>
    <m/>
    <s v="GOAT"/>
    <n v="0"/>
    <m/>
    <m/>
  </r>
  <r>
    <x v="0"/>
    <x v="41"/>
    <e v="#N/A"/>
    <x v="2"/>
    <x v="0"/>
    <s v="PC83299"/>
    <s v="GC3207"/>
    <x v="0"/>
    <s v="FROZEN BONE IN GOAT CARCASE PIECES 6 WAY CUT 24-32KG"/>
    <x v="13"/>
    <n v="9.5"/>
    <n v="9.5"/>
    <x v="2"/>
    <n v="79163.5"/>
    <n v="79163.5"/>
    <n v="8333"/>
    <s v="KG"/>
    <n v="0"/>
    <n v="8333"/>
    <m/>
    <s v="GOAT"/>
    <n v="0"/>
    <m/>
    <m/>
  </r>
  <r>
    <x v="0"/>
    <x v="41"/>
    <e v="#N/A"/>
    <x v="2"/>
    <x v="0"/>
    <s v="PC83299"/>
    <s v="GC3208"/>
    <x v="0"/>
    <s v="FROZEN BONE IN GOAT CARCASE PIECES 6 WAY CUT 16-24KG"/>
    <x v="13"/>
    <n v="9.5"/>
    <n v="9.5"/>
    <x v="2"/>
    <n v="79163.5"/>
    <n v="79163.5"/>
    <n v="8333"/>
    <s v="KG"/>
    <n v="0"/>
    <n v="8333"/>
    <m/>
    <s v="GOAT"/>
    <n v="0"/>
    <m/>
    <m/>
  </r>
  <r>
    <x v="0"/>
    <x v="42"/>
    <e v="#N/A"/>
    <x v="1"/>
    <x v="3"/>
    <s v="PO12757"/>
    <s v="03034"/>
    <x v="1"/>
    <s v="FROZEN BONE IN LAMB  CARCASE "/>
    <x v="15"/>
    <n v="11.5"/>
    <n v="11.5"/>
    <x v="2"/>
    <n v="195500"/>
    <n v="195500"/>
    <n v="17000"/>
    <s v="KG"/>
    <n v="0"/>
    <n v="17000"/>
    <m/>
    <s v="LAMB"/>
    <n v="0"/>
    <m/>
    <m/>
  </r>
  <r>
    <x v="0"/>
    <x v="43"/>
    <e v="#N/A"/>
    <x v="2"/>
    <x v="0"/>
    <s v="PC83351"/>
    <s v="03034"/>
    <x v="1"/>
    <s v="FROZEN BONE IN LAMB  CARCASE "/>
    <x v="13"/>
    <n v="11.6"/>
    <n v="11.6"/>
    <x v="2"/>
    <n v="197200"/>
    <n v="197200"/>
    <n v="17000"/>
    <s v="KG"/>
    <n v="0"/>
    <n v="17000"/>
    <m/>
    <s v="LAMB"/>
    <n v="0"/>
    <m/>
    <m/>
  </r>
  <r>
    <x v="0"/>
    <x v="44"/>
    <e v="#N/A"/>
    <x v="2"/>
    <x v="0"/>
    <s v="PC83352"/>
    <s v="03034"/>
    <x v="1"/>
    <s v="FROZEN BONE IN LAMB  CARCASE "/>
    <x v="13"/>
    <n v="11.6"/>
    <n v="11.6"/>
    <x v="2"/>
    <n v="197200"/>
    <n v="197200"/>
    <n v="17000"/>
    <s v="KG"/>
    <n v="0"/>
    <n v="17000"/>
    <m/>
    <s v="LAMB"/>
    <n v="0"/>
    <m/>
    <m/>
  </r>
  <r>
    <x v="0"/>
    <x v="45"/>
    <e v="#N/A"/>
    <x v="2"/>
    <x v="0"/>
    <s v="PO12792"/>
    <s v="G3222"/>
    <x v="0"/>
    <s v="2 BONE IN GOAT FULL CARCASE IW U-12 12PC 365 f"/>
    <x v="15"/>
    <n v="9.8000000000000007"/>
    <n v="9.8000000000000007"/>
    <x v="2"/>
    <n v="122500.00000000001"/>
    <n v="122500.00000000001"/>
    <n v="12500"/>
    <s v="KG"/>
    <n v="0"/>
    <n v="12500"/>
    <m/>
    <s v="GOAT"/>
    <n v="0"/>
    <m/>
    <m/>
  </r>
  <r>
    <x v="0"/>
    <x v="45"/>
    <e v="#N/A"/>
    <x v="2"/>
    <x v="0"/>
    <s v="PO12792"/>
    <s v="G3226"/>
    <x v="0"/>
    <s v="BONE IN GOAT CARCASE PIECES 6PC IW 365 f"/>
    <x v="15"/>
    <n v="9.8000000000000007"/>
    <n v="9.8000000000000007"/>
    <x v="2"/>
    <n v="122500.00000000001"/>
    <n v="122500.00000000001"/>
    <n v="12500"/>
    <s v="KG"/>
    <n v="0"/>
    <n v="12500"/>
    <m/>
    <s v="GOAT"/>
    <n v="0"/>
    <m/>
    <m/>
  </r>
  <r>
    <x v="0"/>
    <x v="46"/>
    <e v="#N/A"/>
    <x v="2"/>
    <x v="0"/>
    <s v="MC18727"/>
    <s v="V4204"/>
    <x v="4"/>
    <s v="BONE IN VEAL LP FULL CARCASE 6PCS f 730"/>
    <x v="16"/>
    <n v="6.65"/>
    <n v="6.65"/>
    <x v="2"/>
    <n v="166250"/>
    <n v="166250"/>
    <n v="25000"/>
    <s v="KG"/>
    <n v="0"/>
    <n v="25000"/>
    <m/>
    <s v="VEAL"/>
    <n v="0"/>
    <m/>
    <m/>
  </r>
  <r>
    <x v="0"/>
    <x v="47"/>
    <e v="#N/A"/>
    <x v="2"/>
    <x v="0"/>
    <s v="MC18728"/>
    <s v="V4204"/>
    <x v="4"/>
    <s v="BONE IN VEAL LP FULL CARCASE 6PCS f 730"/>
    <x v="16"/>
    <n v="6.65"/>
    <n v="6.65"/>
    <x v="2"/>
    <n v="166250"/>
    <n v="166250"/>
    <n v="25000"/>
    <s v="KG"/>
    <n v="0"/>
    <n v="25000"/>
    <m/>
    <s v="VEAL"/>
    <n v="0"/>
    <m/>
    <m/>
  </r>
  <r>
    <x v="0"/>
    <x v="48"/>
    <e v="#N/A"/>
    <x v="2"/>
    <x v="0"/>
    <s v="PO11417"/>
    <s v="G3222"/>
    <x v="0"/>
    <s v="2 BONE IN GOAT FULL CARCASE IW U-12 12PC 365 f"/>
    <x v="17"/>
    <n v="9.65"/>
    <n v="9.65"/>
    <x v="2"/>
    <n v="231600"/>
    <n v="231600"/>
    <n v="24000"/>
    <s v="KG"/>
    <n v="0"/>
    <n v="24000"/>
    <m/>
    <s v="GOAT"/>
    <n v="0"/>
    <m/>
    <m/>
  </r>
  <r>
    <x v="0"/>
    <x v="49"/>
    <e v="#N/A"/>
    <x v="1"/>
    <x v="3"/>
    <n v="4630018808"/>
    <s v="L1085"/>
    <x v="1"/>
    <s v="BONE IN LAMB CARCASE PIECES"/>
    <x v="18"/>
    <n v="11"/>
    <n v="11"/>
    <x v="2"/>
    <n v="110000"/>
    <n v="110000"/>
    <n v="10000"/>
    <s v="KG"/>
    <n v="0"/>
    <n v="10000"/>
    <m/>
    <s v="LAMB"/>
    <n v="0"/>
    <m/>
    <m/>
  </r>
  <r>
    <x v="0"/>
    <x v="50"/>
    <e v="#N/A"/>
    <x v="2"/>
    <x v="0"/>
    <s v="PO11421"/>
    <s v="G3222"/>
    <x v="0"/>
    <s v="2 BONE IN GOAT FULL CARCASE IW U-12 12PC 365 f"/>
    <x v="17"/>
    <n v="9.75"/>
    <n v="9.75"/>
    <x v="2"/>
    <n v="234000"/>
    <n v="234000"/>
    <n v="24000"/>
    <s v="KG"/>
    <n v="0"/>
    <n v="24000"/>
    <m/>
    <s v="GOAT"/>
    <n v="0"/>
    <m/>
    <m/>
  </r>
  <r>
    <x v="0"/>
    <x v="51"/>
    <e v="#N/A"/>
    <x v="2"/>
    <x v="0"/>
    <s v="PO11422"/>
    <s v="G3222"/>
    <x v="0"/>
    <s v="2 BONE IN GOAT FULL CARCASE IW U-12 12PC 365 f"/>
    <x v="17"/>
    <n v="9.75"/>
    <n v="9.75"/>
    <x v="2"/>
    <n v="234000"/>
    <n v="234000"/>
    <n v="24000"/>
    <s v="KG"/>
    <n v="0"/>
    <n v="24000"/>
    <m/>
    <s v="GOAT"/>
    <n v="0"/>
    <m/>
    <m/>
  </r>
  <r>
    <x v="0"/>
    <x v="52"/>
    <e v="#N/A"/>
    <x v="2"/>
    <x v="0"/>
    <s v="PO11423"/>
    <s v="G3222"/>
    <x v="0"/>
    <s v="2 BONE IN GOAT FULL CARCASE IW U-12 12PC 365 f"/>
    <x v="17"/>
    <n v="9.75"/>
    <n v="9.75"/>
    <x v="2"/>
    <n v="234000"/>
    <n v="234000"/>
    <n v="24000"/>
    <s v="KG"/>
    <n v="0"/>
    <n v="24000"/>
    <m/>
    <s v="GOAT"/>
    <n v="0"/>
    <m/>
    <m/>
  </r>
  <r>
    <x v="1"/>
    <x v="53"/>
    <e v="#N/A"/>
    <x v="0"/>
    <x v="0"/>
    <m/>
    <s v="9230C"/>
    <x v="1"/>
    <s v="FROZEN LAMB CASINGS"/>
    <x v="19"/>
    <n v="3.6"/>
    <n v="3.6"/>
    <x v="2"/>
    <n v="45000"/>
    <n v="45000"/>
    <n v="12500"/>
    <s v="Piece"/>
    <n v="8002.1"/>
    <n v="4497.8999999999996"/>
    <s v="Deposit (rolled) has been received from the customer."/>
    <s v="LAMB"/>
    <n v="0"/>
    <n v="5000"/>
    <m/>
  </r>
  <r>
    <x v="1"/>
    <x v="53"/>
    <e v="#N/A"/>
    <x v="0"/>
    <x v="0"/>
    <m/>
    <s v="9322C"/>
    <x v="2"/>
    <s v="FROZEN SHEEP CASINGS"/>
    <x v="19"/>
    <n v="2.5"/>
    <n v="2.5"/>
    <x v="2"/>
    <n v="31250"/>
    <n v="31250"/>
    <n v="12500"/>
    <s v="Piece"/>
    <n v="12500"/>
    <n v="0"/>
    <s v="Deposit (rolled) has been received from the customer."/>
    <s v="SHEEP"/>
    <n v="0"/>
    <n v="5000"/>
    <m/>
  </r>
  <r>
    <x v="1"/>
    <x v="54"/>
    <e v="#N/A"/>
    <x v="0"/>
    <x v="0"/>
    <m/>
    <s v="9230C"/>
    <x v="1"/>
    <s v="FROZEN LAMB CASINGS"/>
    <x v="19"/>
    <n v="3.6"/>
    <n v="3.6"/>
    <x v="2"/>
    <n v="45000"/>
    <n v="45000"/>
    <n v="12500"/>
    <s v="Piece"/>
    <n v="0"/>
    <n v="12500"/>
    <s v="Deposit (rolled) has been received from the customer."/>
    <s v="LAMB"/>
    <n v="0"/>
    <n v="5000"/>
    <m/>
  </r>
  <r>
    <x v="1"/>
    <x v="54"/>
    <e v="#N/A"/>
    <x v="0"/>
    <x v="0"/>
    <m/>
    <s v="9322C"/>
    <x v="2"/>
    <s v="FROZEN SHEEP CASINGS"/>
    <x v="19"/>
    <n v="2.5"/>
    <n v="2.5"/>
    <x v="2"/>
    <n v="31250"/>
    <n v="31250"/>
    <n v="12500"/>
    <s v="Piece"/>
    <n v="6591.7000000000007"/>
    <n v="5908.2999999999993"/>
    <s v="Deposit (rolled) has been received from the customer."/>
    <s v="SHEEP"/>
    <n v="0"/>
    <n v="5000"/>
    <m/>
  </r>
  <r>
    <x v="1"/>
    <x v="55"/>
    <e v="#N/A"/>
    <x v="0"/>
    <x v="0"/>
    <m/>
    <s v="9230C"/>
    <x v="1"/>
    <s v="FROZEN LAMB CASINGS"/>
    <x v="19"/>
    <n v="3.6"/>
    <n v="3.6"/>
    <x v="2"/>
    <n v="45000"/>
    <n v="45000"/>
    <n v="12500"/>
    <s v="Piece"/>
    <n v="0"/>
    <n v="12500"/>
    <s v="Deposit (rolled) has been received from the customer."/>
    <s v="LAMB"/>
    <n v="0"/>
    <n v="5000"/>
    <m/>
  </r>
  <r>
    <x v="1"/>
    <x v="55"/>
    <e v="#N/A"/>
    <x v="0"/>
    <x v="0"/>
    <m/>
    <s v="9322C"/>
    <x v="2"/>
    <s v="FROZEN SHEEP CASINGS"/>
    <x v="19"/>
    <n v="2.5"/>
    <n v="2.5"/>
    <x v="2"/>
    <n v="31250"/>
    <n v="31250"/>
    <n v="12500"/>
    <s v="Piece"/>
    <n v="0"/>
    <n v="12500"/>
    <s v="Deposit (rolled) has been received from the customer."/>
    <s v="SHEEP"/>
    <n v="0"/>
    <n v="5000"/>
    <m/>
  </r>
  <r>
    <x v="1"/>
    <x v="56"/>
    <e v="#N/A"/>
    <x v="0"/>
    <x v="0"/>
    <m/>
    <s v="9230A"/>
    <x v="2"/>
    <s v="FROZEN LAMB RUNNERS"/>
    <x v="20"/>
    <n v="2.15"/>
    <n v="3.1159420289855073"/>
    <x v="0"/>
    <n v="6450"/>
    <n v="9214.2857142857156"/>
    <n v="3000"/>
    <s v="Piece"/>
    <n v="0"/>
    <n v="3000"/>
    <s v="Deposit will be paid once production is confirmed"/>
    <s v="SHEEP"/>
    <n v="0"/>
    <m/>
    <m/>
  </r>
  <r>
    <x v="1"/>
    <x v="56"/>
    <e v="#N/A"/>
    <x v="0"/>
    <x v="0"/>
    <m/>
    <s v="9322A"/>
    <x v="2"/>
    <s v="FROZEN SHEEP RUNNERS"/>
    <x v="20"/>
    <n v="1.42"/>
    <n v="2.0579710144927539"/>
    <x v="0"/>
    <n v="38340"/>
    <n v="54771.428571428572"/>
    <n v="27000"/>
    <s v="Piece"/>
    <n v="0"/>
    <n v="27000"/>
    <s v="Deposit will be paid once production is confirmed"/>
    <s v="SHEEP"/>
    <n v="0"/>
    <m/>
    <m/>
  </r>
  <r>
    <x v="1"/>
    <x v="57"/>
    <e v="#N/A"/>
    <x v="0"/>
    <x v="0"/>
    <m/>
    <s v="9230A"/>
    <x v="2"/>
    <s v="FROZEN LAMB RUNNERS"/>
    <x v="20"/>
    <n v="2.15"/>
    <n v="3.1159420289855073"/>
    <x v="0"/>
    <n v="6450"/>
    <n v="9214.2857142857156"/>
    <n v="3000"/>
    <s v="Piece"/>
    <n v="0"/>
    <n v="3000"/>
    <s v="Deposit will be paid once production is confirmed"/>
    <s v="SHEEP"/>
    <n v="0"/>
    <m/>
    <m/>
  </r>
  <r>
    <x v="1"/>
    <x v="57"/>
    <e v="#N/A"/>
    <x v="0"/>
    <x v="0"/>
    <m/>
    <s v="9322A"/>
    <x v="2"/>
    <s v="FROZEN SHEEP RUNNERS"/>
    <x v="20"/>
    <n v="1.42"/>
    <n v="2.0579710144927539"/>
    <x v="0"/>
    <n v="38340"/>
    <n v="54771.428571428572"/>
    <n v="27000"/>
    <s v="Piece"/>
    <n v="0"/>
    <n v="27000"/>
    <s v="Deposit will be paid once production is confirmed"/>
    <s v="SHEEP"/>
    <n v="0"/>
    <m/>
    <m/>
  </r>
  <r>
    <x v="1"/>
    <x v="58"/>
    <e v="#N/A"/>
    <x v="0"/>
    <x v="0"/>
    <m/>
    <s v="9230A"/>
    <x v="2"/>
    <s v="FROZEN LAMB RUNNERS"/>
    <x v="20"/>
    <n v="2.15"/>
    <n v="3.1159420289855073"/>
    <x v="0"/>
    <n v="6450"/>
    <n v="9214.2857142857156"/>
    <n v="3000"/>
    <s v="Piece"/>
    <n v="0"/>
    <n v="3000"/>
    <s v="Deposit will be paid once production is confirmed"/>
    <s v="SHEEP"/>
    <n v="0"/>
    <m/>
    <m/>
  </r>
  <r>
    <x v="1"/>
    <x v="58"/>
    <e v="#N/A"/>
    <x v="0"/>
    <x v="0"/>
    <m/>
    <s v="9322A"/>
    <x v="2"/>
    <s v="FROZEN SHEEP RUNNERS"/>
    <x v="20"/>
    <n v="1.42"/>
    <n v="2.0579710144927539"/>
    <x v="0"/>
    <n v="38340"/>
    <n v="54771.428571428572"/>
    <n v="27000"/>
    <s v="Piece"/>
    <n v="0"/>
    <n v="27000"/>
    <s v="Deposit will be paid once production is confirmed"/>
    <s v="SHEEP"/>
    <n v="0"/>
    <m/>
    <m/>
  </r>
  <r>
    <x v="1"/>
    <x v="59"/>
    <e v="#N/A"/>
    <x v="0"/>
    <x v="0"/>
    <m/>
    <s v="PETE09"/>
    <x v="0"/>
    <s v="GOAT PLUCKS"/>
    <x v="21"/>
    <n v="1.35"/>
    <n v="2.2500000000000004"/>
    <x v="3"/>
    <n v="31455.000000000004"/>
    <n v="52425.000000000007"/>
    <n v="23300"/>
    <s v="KG"/>
    <n v="0"/>
    <n v="23300"/>
    <s v="No deposit required, Customer paid cash against documents"/>
    <s v="GOAT"/>
    <n v="0"/>
    <m/>
    <m/>
  </r>
  <r>
    <x v="1"/>
    <x v="60"/>
    <e v="#N/A"/>
    <x v="0"/>
    <x v="0"/>
    <m/>
    <s v="PETE09"/>
    <x v="0"/>
    <s v="GOAT PLUCKS"/>
    <x v="21"/>
    <n v="1.35"/>
    <n v="2.2500000000000004"/>
    <x v="3"/>
    <n v="31455.000000000004"/>
    <n v="52425.000000000007"/>
    <n v="23300"/>
    <s v="KG"/>
    <n v="0"/>
    <n v="23300"/>
    <s v="No deposit required, Customer paid cash against documents"/>
    <s v="GOAT"/>
    <n v="0"/>
    <m/>
    <m/>
  </r>
  <r>
    <x v="1"/>
    <x v="61"/>
    <e v="#N/A"/>
    <x v="0"/>
    <x v="0"/>
    <m/>
    <s v="9103C"/>
    <x v="0"/>
    <s v="FROZEN GOAT CASINGS"/>
    <x v="19"/>
    <n v="0.92"/>
    <n v="0.92"/>
    <x v="2"/>
    <n v="55200"/>
    <n v="55200"/>
    <n v="60000"/>
    <s v="Piece"/>
    <n v="0"/>
    <n v="60000"/>
    <s v="Deposit (rolled) has been received from the customer."/>
    <s v="GOAT"/>
    <n v="0"/>
    <n v="12998.19"/>
    <m/>
  </r>
  <r>
    <x v="1"/>
    <x v="62"/>
    <e v="#N/A"/>
    <x v="0"/>
    <x v="0"/>
    <m/>
    <s v="9230A"/>
    <x v="2"/>
    <s v="FROZEN LAMB RUNNERS"/>
    <x v="20"/>
    <n v="2.15"/>
    <n v="3.1159420289855073"/>
    <x v="0"/>
    <n v="6450"/>
    <n v="9214.2857142857156"/>
    <n v="3000"/>
    <s v="Piece"/>
    <n v="0"/>
    <n v="3000"/>
    <s v="Deposit will be paid once production is confirmed"/>
    <s v="SHEEP"/>
    <n v="0"/>
    <m/>
    <m/>
  </r>
  <r>
    <x v="1"/>
    <x v="62"/>
    <e v="#N/A"/>
    <x v="0"/>
    <x v="0"/>
    <m/>
    <s v="9322A"/>
    <x v="2"/>
    <s v="FROZEN SHEEP RUNNERS"/>
    <x v="20"/>
    <n v="1.42"/>
    <n v="2.0579710144927539"/>
    <x v="0"/>
    <n v="38340"/>
    <n v="54771.428571428572"/>
    <n v="27000"/>
    <s v="Piece"/>
    <n v="0"/>
    <n v="27000"/>
    <s v="Deposit will be paid once production is confirmed"/>
    <s v="SHEEP"/>
    <n v="0"/>
    <m/>
    <m/>
  </r>
  <r>
    <x v="1"/>
    <x v="63"/>
    <e v="#N/A"/>
    <x v="0"/>
    <x v="0"/>
    <m/>
    <s v="9230A"/>
    <x v="2"/>
    <s v="FROZEN LAMB RUNNERS"/>
    <x v="20"/>
    <n v="2.15"/>
    <n v="3.1159420289855073"/>
    <x v="0"/>
    <n v="6450"/>
    <n v="9214.2857142857156"/>
    <n v="3000"/>
    <s v="Piece"/>
    <n v="0"/>
    <n v="3000"/>
    <s v="Deposit will be paid once production is confirmed"/>
    <s v="SHEEP"/>
    <n v="0"/>
    <m/>
    <m/>
  </r>
  <r>
    <x v="1"/>
    <x v="63"/>
    <e v="#N/A"/>
    <x v="0"/>
    <x v="0"/>
    <m/>
    <s v="9322A"/>
    <x v="2"/>
    <s v="FROZEN SHEEP RUNNERS"/>
    <x v="20"/>
    <n v="1.42"/>
    <n v="2.0579710144927539"/>
    <x v="0"/>
    <n v="38340"/>
    <n v="54771.428571428572"/>
    <n v="27000"/>
    <s v="Piece"/>
    <n v="0"/>
    <n v="27000"/>
    <s v="Deposit will be paid once production is confirmed"/>
    <s v="SHEEP"/>
    <n v="0"/>
    <m/>
    <m/>
  </r>
  <r>
    <x v="1"/>
    <x v="64"/>
    <e v="#N/A"/>
    <x v="0"/>
    <x v="0"/>
    <m/>
    <s v="9230A"/>
    <x v="2"/>
    <s v="FROZEN LAMB RUNNERS"/>
    <x v="20"/>
    <n v="2.15"/>
    <n v="3.1159420289855073"/>
    <x v="0"/>
    <n v="6450"/>
    <n v="9214.2857142857156"/>
    <n v="3000"/>
    <s v="Piece"/>
    <n v="0"/>
    <n v="3000"/>
    <s v="Deposit will be paid once production is confirmed"/>
    <s v="SHEEP"/>
    <n v="0"/>
    <m/>
    <m/>
  </r>
  <r>
    <x v="1"/>
    <x v="64"/>
    <e v="#N/A"/>
    <x v="0"/>
    <x v="0"/>
    <m/>
    <s v="9322A"/>
    <x v="2"/>
    <s v="FROZEN SHEEP RUNNERS"/>
    <x v="20"/>
    <n v="1.42"/>
    <n v="2.0579710144927539"/>
    <x v="0"/>
    <n v="38340"/>
    <n v="54771.428571428572"/>
    <n v="27000"/>
    <s v="Piece"/>
    <n v="0"/>
    <n v="27000"/>
    <s v="Deposit will be paid once production is confirmed"/>
    <s v="SHEEP"/>
    <n v="0"/>
    <m/>
    <m/>
  </r>
  <r>
    <x v="1"/>
    <x v="65"/>
    <e v="#N/A"/>
    <x v="0"/>
    <x v="0"/>
    <m/>
    <s v="9230A"/>
    <x v="2"/>
    <s v="FROZEN LAMB RUNNERS"/>
    <x v="20"/>
    <n v="2.15"/>
    <n v="3.1159420289855073"/>
    <x v="0"/>
    <n v="6450"/>
    <n v="9214.2857142857156"/>
    <n v="3000"/>
    <s v="Piece"/>
    <n v="0"/>
    <n v="3000"/>
    <s v="Deposit will be paid once production is confirmed"/>
    <s v="SHEEP"/>
    <n v="0"/>
    <m/>
    <m/>
  </r>
  <r>
    <x v="1"/>
    <x v="65"/>
    <e v="#N/A"/>
    <x v="0"/>
    <x v="0"/>
    <m/>
    <s v="9322A"/>
    <x v="2"/>
    <s v="FROZEN SHEEP RUNNERS"/>
    <x v="20"/>
    <n v="1.42"/>
    <n v="2.0579710144927539"/>
    <x v="0"/>
    <n v="38340"/>
    <n v="54771.428571428572"/>
    <n v="27000"/>
    <s v="Piece"/>
    <n v="0"/>
    <n v="27000"/>
    <s v="Deposit will be paid once production is confirmed"/>
    <s v="SHEEP"/>
    <n v="0"/>
    <m/>
    <m/>
  </r>
  <r>
    <x v="1"/>
    <x v="66"/>
    <e v="#N/A"/>
    <x v="0"/>
    <x v="0"/>
    <m/>
    <s v="9230C"/>
    <x v="1"/>
    <s v="FROZEN LAMB CASINGS"/>
    <x v="22"/>
    <n v="4"/>
    <n v="4"/>
    <x v="2"/>
    <n v="24000"/>
    <n v="24000"/>
    <n v="6000"/>
    <s v="Piece"/>
    <n v="0"/>
    <n v="6000"/>
    <s v="No deposit requested for this customer"/>
    <s v="LAMB"/>
    <n v="0"/>
    <m/>
    <m/>
  </r>
  <r>
    <x v="1"/>
    <x v="66"/>
    <e v="#N/A"/>
    <x v="0"/>
    <x v="0"/>
    <m/>
    <s v="9322C"/>
    <x v="2"/>
    <s v="FROZEN SHEEP CASINGS"/>
    <x v="22"/>
    <n v="2.7"/>
    <n v="2.7"/>
    <x v="2"/>
    <n v="72900"/>
    <n v="72900"/>
    <n v="27000"/>
    <s v="Piece"/>
    <n v="0"/>
    <n v="27000"/>
    <s v="No deposit requested for this customer"/>
    <s v="SHEEP"/>
    <n v="0"/>
    <m/>
    <m/>
  </r>
  <r>
    <x v="1"/>
    <x v="67"/>
    <e v="#N/A"/>
    <x v="0"/>
    <x v="0"/>
    <m/>
    <s v="9230C"/>
    <x v="1"/>
    <s v="FROZEN LAMB CASINGS"/>
    <x v="22"/>
    <n v="4"/>
    <n v="4"/>
    <x v="2"/>
    <n v="24000"/>
    <n v="24000"/>
    <n v="6000"/>
    <s v="Piece"/>
    <n v="0"/>
    <n v="6000"/>
    <s v="No deposit requested for this customer"/>
    <s v="LAMB"/>
    <n v="0"/>
    <m/>
    <m/>
  </r>
  <r>
    <x v="1"/>
    <x v="67"/>
    <e v="#N/A"/>
    <x v="0"/>
    <x v="0"/>
    <m/>
    <s v="9322C"/>
    <x v="2"/>
    <s v="FROZEN SHEEP CASINGS"/>
    <x v="22"/>
    <n v="2.7"/>
    <n v="2.7"/>
    <x v="2"/>
    <n v="72900"/>
    <n v="72900"/>
    <n v="27000"/>
    <s v="Piece"/>
    <n v="0"/>
    <n v="27000"/>
    <s v="No deposit requested for this customer"/>
    <s v="SHEEP"/>
    <n v="0"/>
    <m/>
    <m/>
  </r>
  <r>
    <x v="1"/>
    <x v="68"/>
    <e v="#N/A"/>
    <x v="0"/>
    <x v="0"/>
    <m/>
    <s v="9230C"/>
    <x v="1"/>
    <s v="FROZEN LAMB CASINGS"/>
    <x v="22"/>
    <n v="4"/>
    <n v="4"/>
    <x v="2"/>
    <n v="24000"/>
    <n v="24000"/>
    <n v="6000"/>
    <s v="Piece"/>
    <n v="0"/>
    <n v="6000"/>
    <s v="No deposit requested for this customer"/>
    <s v="LAMB"/>
    <n v="0"/>
    <m/>
    <m/>
  </r>
  <r>
    <x v="1"/>
    <x v="68"/>
    <e v="#N/A"/>
    <x v="0"/>
    <x v="0"/>
    <m/>
    <s v="9322C"/>
    <x v="2"/>
    <s v="FROZEN SHEEP CASINGS"/>
    <x v="22"/>
    <n v="2.7"/>
    <n v="2.7"/>
    <x v="2"/>
    <n v="72900"/>
    <n v="72900"/>
    <n v="27000"/>
    <s v="Piece"/>
    <n v="0"/>
    <n v="27000"/>
    <s v="No deposit requested for this customer"/>
    <s v="SHEEP"/>
    <n v="0"/>
    <m/>
    <m/>
  </r>
  <r>
    <x v="1"/>
    <x v="69"/>
    <e v="#N/A"/>
    <x v="0"/>
    <x v="0"/>
    <m/>
    <s v="9230C"/>
    <x v="1"/>
    <s v="FROZEN LAMB CASINGS"/>
    <x v="22"/>
    <n v="4"/>
    <n v="4"/>
    <x v="2"/>
    <n v="24000"/>
    <n v="24000"/>
    <n v="6000"/>
    <s v="Piece"/>
    <n v="0"/>
    <n v="6000"/>
    <s v="No deposit requested for this customer"/>
    <s v="LAMB"/>
    <n v="0"/>
    <m/>
    <m/>
  </r>
  <r>
    <x v="1"/>
    <x v="69"/>
    <e v="#N/A"/>
    <x v="0"/>
    <x v="0"/>
    <m/>
    <s v="9322C"/>
    <x v="2"/>
    <s v="FROZEN SHEEP CASINGS"/>
    <x v="22"/>
    <n v="2.7"/>
    <n v="2.7"/>
    <x v="2"/>
    <n v="72900"/>
    <n v="72900"/>
    <n v="27000"/>
    <s v="Piece"/>
    <n v="0"/>
    <n v="27000"/>
    <s v="No deposit requested for this customer"/>
    <s v="SHEEP"/>
    <n v="0"/>
    <m/>
    <m/>
  </r>
  <r>
    <x v="1"/>
    <x v="70"/>
    <e v="#N/A"/>
    <x v="0"/>
    <x v="0"/>
    <m/>
    <s v="9230C"/>
    <x v="1"/>
    <s v="FROZEN LAMB CASINGS"/>
    <x v="22"/>
    <n v="4"/>
    <n v="4"/>
    <x v="2"/>
    <n v="24000"/>
    <n v="24000"/>
    <n v="6000"/>
    <s v="Piece"/>
    <n v="0"/>
    <n v="6000"/>
    <s v="No deposit requested for this customer"/>
    <s v="LAMB"/>
    <n v="0"/>
    <m/>
    <m/>
  </r>
  <r>
    <x v="1"/>
    <x v="70"/>
    <e v="#N/A"/>
    <x v="0"/>
    <x v="0"/>
    <m/>
    <s v="9322C"/>
    <x v="2"/>
    <s v="FROZEN SHEEP CASINGS"/>
    <x v="22"/>
    <n v="2.7"/>
    <n v="2.7"/>
    <x v="2"/>
    <n v="72900"/>
    <n v="72900"/>
    <n v="27000"/>
    <s v="Piece"/>
    <n v="0"/>
    <n v="27000"/>
    <s v="No deposit requested for this customer"/>
    <s v="SHEEP"/>
    <n v="0"/>
    <m/>
    <m/>
  </r>
  <r>
    <x v="1"/>
    <x v="71"/>
    <e v="#N/A"/>
    <x v="0"/>
    <x v="0"/>
    <m/>
    <s v="9230C"/>
    <x v="1"/>
    <s v="FROZEN LAMB CASINGS"/>
    <x v="22"/>
    <n v="4"/>
    <n v="4"/>
    <x v="2"/>
    <n v="24000"/>
    <n v="24000"/>
    <n v="6000"/>
    <s v="Piece"/>
    <n v="0"/>
    <n v="6000"/>
    <s v="No deposit requested for this customer"/>
    <s v="LAMB"/>
    <n v="0"/>
    <m/>
    <m/>
  </r>
  <r>
    <x v="1"/>
    <x v="71"/>
    <e v="#N/A"/>
    <x v="0"/>
    <x v="0"/>
    <m/>
    <s v="9322C"/>
    <x v="2"/>
    <s v="FROZEN SHEEP CASINGS"/>
    <x v="22"/>
    <n v="2.7"/>
    <n v="2.7"/>
    <x v="2"/>
    <n v="72900"/>
    <n v="72900"/>
    <n v="27000"/>
    <s v="Piece"/>
    <n v="0"/>
    <n v="27000"/>
    <s v="No deposit requested for this customer"/>
    <s v="SHEEP"/>
    <n v="0"/>
    <m/>
    <m/>
  </r>
  <r>
    <x v="1"/>
    <x v="72"/>
    <e v="#N/A"/>
    <x v="0"/>
    <x v="0"/>
    <n v="5001"/>
    <s v="7033E"/>
    <x v="0"/>
    <s v="GOAT LIVER"/>
    <x v="23"/>
    <n v="2.17"/>
    <n v="3.6166666666666667"/>
    <x v="3"/>
    <n v="24955"/>
    <n v="41591.666666666672"/>
    <n v="11500"/>
    <s v="KG"/>
    <n v="0"/>
    <n v="11500"/>
    <s v="Deposit (rolled) has been received from the customer."/>
    <s v="GOAT"/>
    <n v="0"/>
    <m/>
    <m/>
  </r>
  <r>
    <x v="1"/>
    <x v="72"/>
    <e v="#N/A"/>
    <x v="0"/>
    <x v="0"/>
    <n v="5001"/>
    <s v="7053E"/>
    <x v="0"/>
    <s v="GOAT HEARTS"/>
    <x v="23"/>
    <n v="2.17"/>
    <n v="3.6166666666666667"/>
    <x v="3"/>
    <n v="13020"/>
    <n v="21700"/>
    <n v="6000"/>
    <s v="KG"/>
    <n v="0"/>
    <n v="6000"/>
    <s v="Deposit (rolled) has been received from the customer."/>
    <s v="GOAT"/>
    <n v="0"/>
    <m/>
    <m/>
  </r>
  <r>
    <x v="1"/>
    <x v="73"/>
    <e v="#N/A"/>
    <x v="0"/>
    <x v="0"/>
    <m/>
    <s v="9230C"/>
    <x v="1"/>
    <s v="FROZEN LAMB CASINGS"/>
    <x v="24"/>
    <n v="5.2"/>
    <n v="5.2"/>
    <x v="2"/>
    <n v="85800"/>
    <n v="85800"/>
    <n v="16500"/>
    <s v="Piece"/>
    <n v="0"/>
    <n v="16500"/>
    <s v="Deposit will be paid once production is confirmed"/>
    <s v="LAMB"/>
    <n v="0"/>
    <m/>
    <m/>
  </r>
  <r>
    <x v="1"/>
    <x v="73"/>
    <e v="#N/A"/>
    <x v="0"/>
    <x v="0"/>
    <m/>
    <s v="9322C"/>
    <x v="2"/>
    <s v="FROZEN SHEEP CASINGS"/>
    <x v="24"/>
    <n v="3.7"/>
    <n v="3.7"/>
    <x v="2"/>
    <n v="61050"/>
    <n v="61050"/>
    <n v="16500"/>
    <s v="Piece"/>
    <n v="0"/>
    <n v="16500"/>
    <s v="Deposit will be paid once production is confirmed"/>
    <s v="SHEEP"/>
    <n v="0"/>
    <m/>
    <m/>
  </r>
  <r>
    <x v="1"/>
    <x v="74"/>
    <e v="#N/A"/>
    <x v="3"/>
    <x v="0"/>
    <m/>
    <n v="7030"/>
    <x v="5"/>
    <s v="FROZEN SHEEP LIVER"/>
    <x v="25"/>
    <n v="2.12"/>
    <n v="4.24"/>
    <x v="4"/>
    <n v="53000"/>
    <n v="106000"/>
    <n v="25000"/>
    <s v="KG"/>
    <n v="0"/>
    <n v="25000"/>
    <s v="Deposit will be paid once production is confirmed"/>
    <s v="OFFAL"/>
    <n v="0"/>
    <m/>
    <m/>
  </r>
  <r>
    <x v="1"/>
    <x v="75"/>
    <e v="#N/A"/>
    <x v="3"/>
    <x v="0"/>
    <m/>
    <s v="7050B"/>
    <x v="2"/>
    <s v="SHEEP HEARTS "/>
    <x v="25"/>
    <n v="1.74"/>
    <n v="2.5217391304347827"/>
    <x v="0"/>
    <n v="29580"/>
    <n v="42257.142857142862"/>
    <n v="17000"/>
    <s v="KG"/>
    <n v="0"/>
    <n v="17000"/>
    <s v="Deposit will be paid once production is confirmed"/>
    <s v="SHEEP"/>
    <n v="0"/>
    <m/>
    <m/>
  </r>
  <r>
    <x v="1"/>
    <x v="76"/>
    <e v="#N/A"/>
    <x v="3"/>
    <x v="0"/>
    <m/>
    <s v="PETS01"/>
    <x v="2"/>
    <s v="OVINE LIVER"/>
    <x v="23"/>
    <n v="1.1499999999999999"/>
    <n v="1.9166666666666665"/>
    <x v="3"/>
    <n v="6899.9999999999991"/>
    <n v="11499.999999999998"/>
    <n v="6000"/>
    <s v="KG"/>
    <n v="0"/>
    <n v="6000"/>
    <s v="Deposit will be paid once production is confirmed"/>
    <s v="SHEEP"/>
    <n v="0"/>
    <m/>
    <m/>
  </r>
  <r>
    <x v="1"/>
    <x v="76"/>
    <e v="#N/A"/>
    <x v="3"/>
    <x v="0"/>
    <m/>
    <s v="PETE03"/>
    <x v="2"/>
    <s v="OVINE LUNG LOBE"/>
    <x v="23"/>
    <n v="1.1499999999999999"/>
    <n v="1.9166666666666665"/>
    <x v="3"/>
    <n v="3449.9999999999995"/>
    <n v="5749.9999999999991"/>
    <n v="3000"/>
    <s v="KG"/>
    <n v="0"/>
    <n v="3000"/>
    <s v="Deposit will be paid once production is confirmed"/>
    <s v="SHEEP"/>
    <n v="0"/>
    <m/>
    <m/>
  </r>
  <r>
    <x v="1"/>
    <x v="76"/>
    <e v="#N/A"/>
    <x v="3"/>
    <x v="0"/>
    <m/>
    <s v="PETE04"/>
    <x v="0"/>
    <s v="GOAT LUNG "/>
    <x v="23"/>
    <n v="1.35"/>
    <n v="2.2500000000000004"/>
    <x v="3"/>
    <n v="4050.0000000000005"/>
    <n v="6750.0000000000009"/>
    <n v="3000"/>
    <s v="KG"/>
    <n v="0"/>
    <n v="3000"/>
    <s v="Deposit will be paid once production is confirmed"/>
    <s v="GOAT"/>
    <n v="0"/>
    <m/>
    <m/>
  </r>
  <r>
    <x v="1"/>
    <x v="76"/>
    <e v="#N/A"/>
    <x v="3"/>
    <x v="0"/>
    <m/>
    <s v="PETE22"/>
    <x v="0"/>
    <s v="GOAT TRIPE"/>
    <x v="23"/>
    <n v="1.35"/>
    <n v="2.2500000000000004"/>
    <x v="3"/>
    <n v="6750"/>
    <n v="11250"/>
    <n v="5000"/>
    <s v="KG"/>
    <n v="0"/>
    <n v="5000"/>
    <s v="Deposit will be paid once production is confirmed"/>
    <s v="GOAT"/>
    <n v="0"/>
    <m/>
    <m/>
  </r>
  <r>
    <x v="1"/>
    <x v="76"/>
    <e v="#N/A"/>
    <x v="3"/>
    <x v="0"/>
    <m/>
    <s v="PETE02"/>
    <x v="0"/>
    <s v="GOAT LIVER"/>
    <x v="23"/>
    <n v="1.35"/>
    <n v="2.2500000000000004"/>
    <x v="3"/>
    <n v="1350"/>
    <n v="2250"/>
    <n v="1000"/>
    <s v="KG"/>
    <n v="0"/>
    <n v="1000"/>
    <s v="Deposit will be paid once production is confirmed"/>
    <s v="GOAT"/>
    <n v="0"/>
    <m/>
    <m/>
  </r>
  <r>
    <x v="1"/>
    <x v="76"/>
    <e v="#N/A"/>
    <x v="3"/>
    <x v="0"/>
    <m/>
    <s v="PETE12"/>
    <x v="2"/>
    <s v="SHEEP KIDNEY"/>
    <x v="23"/>
    <n v="1.35"/>
    <n v="2.2500000000000004"/>
    <x v="3"/>
    <n v="1350"/>
    <n v="2250"/>
    <n v="1000"/>
    <s v="KG"/>
    <n v="0"/>
    <n v="1000"/>
    <s v="Deposit will be paid once production is confirmed"/>
    <s v="SHEEP"/>
    <n v="0"/>
    <m/>
    <m/>
  </r>
  <r>
    <x v="1"/>
    <x v="76"/>
    <e v="#N/A"/>
    <x v="3"/>
    <x v="0"/>
    <m/>
    <s v="PETE18"/>
    <x v="0"/>
    <s v="GOAT NECK TRIMMINGS"/>
    <x v="23"/>
    <n v="2.1"/>
    <n v="3.5000000000000004"/>
    <x v="3"/>
    <n v="4200"/>
    <n v="7000"/>
    <n v="2000"/>
    <s v="KG"/>
    <n v="0"/>
    <n v="2000"/>
    <s v="Deposit will be paid once production is confirmed"/>
    <s v="GOAT"/>
    <n v="0"/>
    <m/>
    <m/>
  </r>
  <r>
    <x v="1"/>
    <x v="76"/>
    <e v="#N/A"/>
    <x v="3"/>
    <x v="0"/>
    <m/>
    <s v="PETE11"/>
    <x v="2"/>
    <s v="OVINE NECK TRIMMING"/>
    <x v="23"/>
    <n v="2.1"/>
    <n v="3.5000000000000004"/>
    <x v="3"/>
    <n v="2100"/>
    <n v="3500"/>
    <n v="1000"/>
    <s v="KG"/>
    <n v="0"/>
    <n v="1000"/>
    <s v="Deposit will be paid once production is confirmed"/>
    <s v="SHEEP"/>
    <n v="0"/>
    <m/>
    <m/>
  </r>
  <r>
    <x v="1"/>
    <x v="77"/>
    <e v="#N/A"/>
    <x v="3"/>
    <x v="0"/>
    <m/>
    <s v="PETS01"/>
    <x v="2"/>
    <s v="OVINE LIVER"/>
    <x v="23"/>
    <n v="1.1499999999999999"/>
    <n v="1.9166666666666665"/>
    <x v="3"/>
    <n v="6899.9999999999991"/>
    <n v="11499.999999999998"/>
    <n v="6000"/>
    <s v="KG"/>
    <n v="0"/>
    <n v="6000"/>
    <s v="Deposit will be paid once production is confirmed"/>
    <s v="SHEEP"/>
    <n v="0"/>
    <m/>
    <m/>
  </r>
  <r>
    <x v="1"/>
    <x v="77"/>
    <e v="#N/A"/>
    <x v="3"/>
    <x v="0"/>
    <m/>
    <s v="PETE03"/>
    <x v="2"/>
    <s v="OVINE LUNG LOBE"/>
    <x v="23"/>
    <n v="1.1499999999999999"/>
    <n v="1.9166666666666665"/>
    <x v="3"/>
    <n v="3449.9999999999995"/>
    <n v="5749.9999999999991"/>
    <n v="3000"/>
    <s v="KG"/>
    <n v="0"/>
    <n v="3000"/>
    <s v="Deposit will be paid once production is confirmed"/>
    <s v="SHEEP"/>
    <n v="0"/>
    <m/>
    <m/>
  </r>
  <r>
    <x v="1"/>
    <x v="77"/>
    <e v="#N/A"/>
    <x v="3"/>
    <x v="0"/>
    <m/>
    <s v="PETE04"/>
    <x v="0"/>
    <s v="GOAT LUNG "/>
    <x v="23"/>
    <n v="1.35"/>
    <n v="2.2500000000000004"/>
    <x v="3"/>
    <n v="4050.0000000000005"/>
    <n v="6750.0000000000009"/>
    <n v="3000"/>
    <s v="KG"/>
    <n v="0"/>
    <n v="3000"/>
    <s v="Deposit will be paid once production is confirmed"/>
    <s v="GOAT"/>
    <n v="0"/>
    <m/>
    <m/>
  </r>
  <r>
    <x v="1"/>
    <x v="77"/>
    <e v="#N/A"/>
    <x v="3"/>
    <x v="0"/>
    <m/>
    <s v="PETE22"/>
    <x v="0"/>
    <s v="GOAT TRIPE"/>
    <x v="23"/>
    <n v="1.35"/>
    <n v="2.2500000000000004"/>
    <x v="3"/>
    <n v="6750"/>
    <n v="11250"/>
    <n v="5000"/>
    <s v="KG"/>
    <n v="0"/>
    <n v="5000"/>
    <s v="Deposit will be paid once production is confirmed"/>
    <s v="GOAT"/>
    <n v="0"/>
    <m/>
    <m/>
  </r>
  <r>
    <x v="1"/>
    <x v="77"/>
    <e v="#N/A"/>
    <x v="3"/>
    <x v="0"/>
    <m/>
    <s v="PETE02"/>
    <x v="0"/>
    <s v="GOAT LIVER"/>
    <x v="23"/>
    <n v="1.35"/>
    <n v="2.2500000000000004"/>
    <x v="3"/>
    <n v="1350"/>
    <n v="2250"/>
    <n v="1000"/>
    <s v="KG"/>
    <n v="0"/>
    <n v="1000"/>
    <s v="Deposit will be paid once production is confirmed"/>
    <s v="GOAT"/>
    <n v="0"/>
    <m/>
    <m/>
  </r>
  <r>
    <x v="1"/>
    <x v="77"/>
    <e v="#N/A"/>
    <x v="3"/>
    <x v="0"/>
    <m/>
    <s v="PETE12"/>
    <x v="2"/>
    <s v="SHEEP KIDNEY"/>
    <x v="23"/>
    <n v="1.35"/>
    <n v="2.2500000000000004"/>
    <x v="3"/>
    <n v="1350"/>
    <n v="2250"/>
    <n v="1000"/>
    <s v="KG"/>
    <n v="0"/>
    <n v="1000"/>
    <s v="Deposit will be paid once production is confirmed"/>
    <s v="SHEEP"/>
    <n v="0"/>
    <m/>
    <m/>
  </r>
  <r>
    <x v="1"/>
    <x v="77"/>
    <e v="#N/A"/>
    <x v="3"/>
    <x v="0"/>
    <m/>
    <s v="PETE18"/>
    <x v="0"/>
    <s v="GOAT NECK TRIMMINGS"/>
    <x v="23"/>
    <n v="2.1"/>
    <n v="3.5000000000000004"/>
    <x v="3"/>
    <n v="4200"/>
    <n v="7000"/>
    <n v="2000"/>
    <s v="KG"/>
    <n v="0"/>
    <n v="2000"/>
    <s v="Deposit will be paid once production is confirmed"/>
    <s v="GOAT"/>
    <n v="0"/>
    <m/>
    <m/>
  </r>
  <r>
    <x v="1"/>
    <x v="77"/>
    <e v="#N/A"/>
    <x v="3"/>
    <x v="0"/>
    <m/>
    <s v="PETE11"/>
    <x v="2"/>
    <s v="OVINE NECK TRIMMING"/>
    <x v="23"/>
    <n v="2.1"/>
    <n v="3.5000000000000004"/>
    <x v="3"/>
    <n v="2100"/>
    <n v="3500"/>
    <n v="1000"/>
    <s v="KG"/>
    <n v="0"/>
    <n v="1000"/>
    <s v="Deposit will be paid once production is confirmed"/>
    <s v="SHEEP"/>
    <n v="0"/>
    <m/>
    <m/>
  </r>
  <r>
    <x v="1"/>
    <x v="78"/>
    <e v="#N/A"/>
    <x v="3"/>
    <x v="0"/>
    <m/>
    <s v="PETS03"/>
    <x v="2"/>
    <s v="OVINE LUNG LOBE"/>
    <x v="26"/>
    <n v="1.18"/>
    <n v="1.9666666666666666"/>
    <x v="3"/>
    <n v="2360"/>
    <n v="3933.3333333333335"/>
    <n v="2000"/>
    <s v="KG"/>
    <n v="0"/>
    <n v="2000"/>
    <s v="Deposit will be paid once production is confirmed"/>
    <s v="SHEEP"/>
    <n v="0"/>
    <m/>
    <m/>
  </r>
  <r>
    <x v="1"/>
    <x v="78"/>
    <e v="#N/A"/>
    <x v="3"/>
    <x v="0"/>
    <m/>
    <s v="PETE01"/>
    <x v="2"/>
    <s v="OVINE LIVER"/>
    <x v="26"/>
    <n v="1.1499999999999999"/>
    <n v="1.9166666666666665"/>
    <x v="3"/>
    <n v="11500"/>
    <n v="19166.666666666668"/>
    <n v="10000"/>
    <s v="KG"/>
    <n v="0"/>
    <n v="10000"/>
    <s v="Deposit will be paid once production is confirmed"/>
    <s v="SHEEP"/>
    <n v="0"/>
    <m/>
    <m/>
  </r>
  <r>
    <x v="1"/>
    <x v="78"/>
    <e v="#N/A"/>
    <x v="3"/>
    <x v="0"/>
    <m/>
    <s v="PETE14"/>
    <x v="2"/>
    <s v="SHEEP OFFAL MIX"/>
    <x v="26"/>
    <n v="1.1399999999999999"/>
    <n v="1.9"/>
    <x v="3"/>
    <n v="12881.999999999998"/>
    <n v="21469.999999999996"/>
    <n v="11300"/>
    <s v="KG"/>
    <n v="0"/>
    <n v="11300"/>
    <s v="Deposit will be paid once production is confirmed"/>
    <s v="SHEEP"/>
    <n v="0"/>
    <m/>
    <m/>
  </r>
  <r>
    <x v="1"/>
    <x v="79"/>
    <e v="#N/A"/>
    <x v="3"/>
    <x v="0"/>
    <m/>
    <s v="PETS03"/>
    <x v="2"/>
    <s v="OVINE LUNG LOBE"/>
    <x v="26"/>
    <n v="1.18"/>
    <n v="1.9666666666666666"/>
    <x v="3"/>
    <n v="2360"/>
    <n v="3933.3333333333335"/>
    <n v="2000"/>
    <s v="KG"/>
    <n v="0"/>
    <n v="2000"/>
    <s v="Deposit will be paid once production is confirmed"/>
    <s v="SHEEP"/>
    <n v="0"/>
    <m/>
    <m/>
  </r>
  <r>
    <x v="1"/>
    <x v="79"/>
    <e v="#N/A"/>
    <x v="3"/>
    <x v="0"/>
    <m/>
    <s v="PETE01"/>
    <x v="2"/>
    <s v="OVINE LIVER"/>
    <x v="26"/>
    <n v="1.1499999999999999"/>
    <n v="1.9166666666666665"/>
    <x v="3"/>
    <n v="11500"/>
    <n v="19166.666666666668"/>
    <n v="10000"/>
    <s v="KG"/>
    <n v="0"/>
    <n v="10000"/>
    <s v="Deposit will be paid once production is confirmed"/>
    <s v="SHEEP"/>
    <n v="0"/>
    <m/>
    <m/>
  </r>
  <r>
    <x v="1"/>
    <x v="79"/>
    <e v="#N/A"/>
    <x v="3"/>
    <x v="0"/>
    <m/>
    <s v="PETE14"/>
    <x v="2"/>
    <s v="SHEEP OFFAL MIX"/>
    <x v="26"/>
    <n v="1.1399999999999999"/>
    <n v="1.9"/>
    <x v="3"/>
    <n v="12881.999999999998"/>
    <n v="21469.999999999996"/>
    <n v="11300"/>
    <s v="KG"/>
    <n v="0"/>
    <n v="11300"/>
    <s v="Deposit will be paid once production is confirmed"/>
    <s v="SHEEP"/>
    <n v="0"/>
    <m/>
    <m/>
  </r>
  <r>
    <x v="1"/>
    <x v="80"/>
    <e v="#N/A"/>
    <x v="3"/>
    <x v="0"/>
    <m/>
    <s v="6532E"/>
    <x v="4"/>
    <s v="VEAL LIVER IW"/>
    <x v="27"/>
    <n v="1.6"/>
    <n v="2.3188405797101455"/>
    <x v="0"/>
    <n v="27200"/>
    <n v="38857.142857142862"/>
    <n v="17000"/>
    <s v="KG"/>
    <m/>
    <n v="17000"/>
    <m/>
    <s v="VEAL"/>
    <n v="0"/>
    <m/>
    <m/>
  </r>
  <r>
    <x v="1"/>
    <x v="81"/>
    <e v="#N/A"/>
    <x v="0"/>
    <x v="0"/>
    <m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82"/>
    <e v="#N/A"/>
    <x v="3"/>
    <x v="0"/>
    <s v="SA55045"/>
    <s v="7140L"/>
    <x v="5"/>
    <s v="FROZEN SHEEP PLUCK"/>
    <x v="28"/>
    <n v="3.2"/>
    <n v="3.2"/>
    <x v="2"/>
    <n v="80000"/>
    <n v="80000"/>
    <n v="25000"/>
    <s v="KG"/>
    <n v="0"/>
    <n v="25000"/>
    <s v="FAS Order, no deposit required"/>
    <s v="OFFAL"/>
    <n v="0"/>
    <m/>
    <m/>
  </r>
  <r>
    <x v="1"/>
    <x v="83"/>
    <e v="#N/A"/>
    <x v="3"/>
    <x v="0"/>
    <s v="SA55046"/>
    <s v="7140L"/>
    <x v="5"/>
    <s v="FROZEN SHEEP PLUCK"/>
    <x v="28"/>
    <n v="3.2"/>
    <n v="3.2"/>
    <x v="2"/>
    <n v="80000"/>
    <n v="80000"/>
    <n v="25000"/>
    <s v="KG"/>
    <n v="0"/>
    <n v="25000"/>
    <s v="FAS Order, no deposit required"/>
    <s v="OFFAL"/>
    <n v="0"/>
    <m/>
    <m/>
  </r>
  <r>
    <x v="1"/>
    <x v="84"/>
    <e v="#N/A"/>
    <x v="3"/>
    <x v="0"/>
    <s v="SA55047"/>
    <s v="7140L"/>
    <x v="5"/>
    <s v="FROZEN SHEEP PLUCK"/>
    <x v="28"/>
    <n v="3.2"/>
    <n v="3.2"/>
    <x v="2"/>
    <n v="80000"/>
    <n v="80000"/>
    <n v="25000"/>
    <s v="KG"/>
    <n v="0"/>
    <n v="25000"/>
    <s v="FAS Order, no deposit required"/>
    <s v="OFFAL"/>
    <n v="0"/>
    <m/>
    <m/>
  </r>
  <r>
    <x v="1"/>
    <x v="85"/>
    <e v="#N/A"/>
    <x v="0"/>
    <x v="0"/>
    <n v="508946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86"/>
    <e v="#N/A"/>
    <x v="0"/>
    <x v="0"/>
    <n v="508947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87"/>
    <e v="#N/A"/>
    <x v="0"/>
    <x v="0"/>
    <n v="508948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88"/>
    <e v="#N/A"/>
    <x v="0"/>
    <x v="0"/>
    <n v="508949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89"/>
    <e v="#N/A"/>
    <x v="0"/>
    <x v="0"/>
    <n v="508950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90"/>
    <e v="#N/A"/>
    <x v="0"/>
    <x v="0"/>
    <n v="508951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91"/>
    <e v="#N/A"/>
    <x v="0"/>
    <x v="0"/>
    <n v="508952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92"/>
    <e v="#N/A"/>
    <x v="0"/>
    <x v="0"/>
    <n v="508953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93"/>
    <e v="#N/A"/>
    <x v="0"/>
    <x v="0"/>
    <n v="508954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94"/>
    <e v="#N/A"/>
    <x v="0"/>
    <x v="0"/>
    <n v="508955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95"/>
    <e v="#N/A"/>
    <x v="0"/>
    <x v="0"/>
    <n v="508956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96"/>
    <e v="#N/A"/>
    <x v="0"/>
    <x v="0"/>
    <n v="508957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97"/>
    <e v="#N/A"/>
    <x v="0"/>
    <x v="0"/>
    <n v="508958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98"/>
    <e v="#N/A"/>
    <x v="0"/>
    <x v="0"/>
    <n v="508959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99"/>
    <e v="#N/A"/>
    <x v="0"/>
    <x v="0"/>
    <n v="508960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100"/>
    <e v="#N/A"/>
    <x v="0"/>
    <x v="0"/>
    <n v="508961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101"/>
    <e v="#N/A"/>
    <x v="0"/>
    <x v="0"/>
    <n v="508962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102"/>
    <e v="#N/A"/>
    <x v="0"/>
    <x v="0"/>
    <n v="508963"/>
    <s v="7499E"/>
    <x v="2"/>
    <s v="FROZEN SHEEP CAUL FAT"/>
    <x v="14"/>
    <n v="0.9"/>
    <n v="0.9"/>
    <x v="2"/>
    <n v="22500"/>
    <n v="22500"/>
    <n v="25000"/>
    <s v="KG"/>
    <n v="0"/>
    <n v="25000"/>
    <s v="FAS Order, no deposit required"/>
    <s v="SHEEP"/>
    <n v="0"/>
    <m/>
    <m/>
  </r>
  <r>
    <x v="1"/>
    <x v="103"/>
    <e v="#N/A"/>
    <x v="3"/>
    <x v="0"/>
    <m/>
    <s v="7083U"/>
    <x v="0"/>
    <s v="GOAT TRIPE SCALDED"/>
    <x v="29"/>
    <n v="2.4"/>
    <n v="2.4"/>
    <x v="2"/>
    <n v="9600"/>
    <n v="9600"/>
    <n v="4000"/>
    <s v="KG"/>
    <n v="0"/>
    <n v="4000"/>
    <s v="FAS Order, no deposit required"/>
    <s v="GOAT"/>
    <n v="0"/>
    <m/>
    <m/>
  </r>
  <r>
    <x v="1"/>
    <x v="103"/>
    <e v="#N/A"/>
    <x v="3"/>
    <x v="0"/>
    <m/>
    <s v="7050B"/>
    <x v="2"/>
    <s v="SHEEP HEARTS "/>
    <x v="29"/>
    <n v="6.3"/>
    <n v="6.3"/>
    <x v="2"/>
    <n v="6300"/>
    <n v="6300"/>
    <n v="1000"/>
    <s v="KG"/>
    <n v="0"/>
    <n v="1000"/>
    <s v="FAS Order, no deposit required"/>
    <s v="SHEEP"/>
    <n v="0"/>
    <m/>
    <m/>
  </r>
  <r>
    <x v="1"/>
    <x v="103"/>
    <e v="#N/A"/>
    <x v="3"/>
    <x v="0"/>
    <m/>
    <s v="7046U "/>
    <x v="5"/>
    <s v="FROZEN GOAT KIDNEY"/>
    <x v="29"/>
    <n v="4.5999999999999996"/>
    <n v="4.5999999999999996"/>
    <x v="2"/>
    <n v="4600"/>
    <n v="4600"/>
    <n v="1000"/>
    <s v="KG"/>
    <n v="0"/>
    <n v="1000"/>
    <s v="FAS Order, no deposit required"/>
    <s v="OFFAL"/>
    <n v="0"/>
    <m/>
    <m/>
  </r>
  <r>
    <x v="1"/>
    <x v="103"/>
    <e v="#N/A"/>
    <x v="3"/>
    <x v="0"/>
    <m/>
    <s v="7036U"/>
    <x v="0"/>
    <s v="GOAT LIVER IW"/>
    <x v="29"/>
    <n v="2.2999999999999998"/>
    <n v="2.2999999999999998"/>
    <x v="2"/>
    <n v="4600"/>
    <n v="4600"/>
    <n v="2000"/>
    <s v="KG"/>
    <n v="0"/>
    <n v="2000"/>
    <s v="FAS Order, no deposit required"/>
    <s v="GOAT"/>
    <n v="0"/>
    <m/>
    <m/>
  </r>
  <r>
    <x v="1"/>
    <x v="103"/>
    <e v="#N/A"/>
    <x v="3"/>
    <x v="0"/>
    <m/>
    <s v="8005U"/>
    <x v="0"/>
    <s v="GOAT TESTES "/>
    <x v="29"/>
    <n v="7.3"/>
    <n v="7.3"/>
    <x v="2"/>
    <n v="7300"/>
    <n v="7300"/>
    <n v="1000"/>
    <s v="KG"/>
    <n v="0"/>
    <n v="1000"/>
    <s v="FAS Order, no deposit required"/>
    <s v="GOAT"/>
    <n v="0"/>
    <m/>
    <m/>
  </r>
  <r>
    <x v="1"/>
    <x v="104"/>
    <e v="#N/A"/>
    <x v="3"/>
    <x v="0"/>
    <s v="M1-33703-25"/>
    <s v="7082N"/>
    <x v="2"/>
    <s v="SHEEP TRIPE LP"/>
    <x v="30"/>
    <n v="1.5"/>
    <n v="1.5"/>
    <x v="2"/>
    <n v="27000"/>
    <n v="27000"/>
    <n v="18000"/>
    <s v="KG"/>
    <n v="0"/>
    <n v="18000"/>
    <m/>
    <s v="SHEEP"/>
    <n v="0"/>
    <m/>
    <m/>
  </r>
  <r>
    <x v="1"/>
    <x v="105"/>
    <e v="#N/A"/>
    <x v="2"/>
    <x v="0"/>
    <s v="35762P"/>
    <s v="7499M"/>
    <x v="2"/>
    <s v="BONELESS MUTTON FAT"/>
    <x v="31"/>
    <n v="0.95"/>
    <n v="0.95"/>
    <x v="2"/>
    <n v="23750"/>
    <n v="23750"/>
    <n v="25000"/>
    <s v="KG"/>
    <n v="0"/>
    <n v="25000"/>
    <m/>
    <s v="SHEEP"/>
    <n v="0"/>
    <m/>
    <m/>
  </r>
  <r>
    <x v="1"/>
    <x v="106"/>
    <e v="#N/A"/>
    <x v="3"/>
    <x v="0"/>
    <s v="SA58048"/>
    <s v="7499E"/>
    <x v="2"/>
    <s v="FROZEN SHEEP CAUL FAT"/>
    <x v="28"/>
    <n v="1"/>
    <n v="1"/>
    <x v="2"/>
    <n v="25000"/>
    <n v="25000"/>
    <n v="25000"/>
    <s v="KG"/>
    <n v="0"/>
    <n v="25000"/>
    <m/>
    <s v="SHEEP"/>
    <n v="0"/>
    <m/>
    <m/>
  </r>
  <r>
    <x v="1"/>
    <x v="107"/>
    <e v="#N/A"/>
    <x v="3"/>
    <x v="0"/>
    <s v="SA58049"/>
    <s v="7499E"/>
    <x v="2"/>
    <s v="FROZEN SHEEP CAUL FAT"/>
    <x v="28"/>
    <n v="1"/>
    <n v="1"/>
    <x v="2"/>
    <n v="25000"/>
    <n v="25000"/>
    <n v="25000"/>
    <s v="KG"/>
    <n v="0"/>
    <n v="25000"/>
    <m/>
    <s v="SHEEP"/>
    <n v="0"/>
    <m/>
    <m/>
  </r>
  <r>
    <x v="1"/>
    <x v="108"/>
    <e v="#N/A"/>
    <x v="3"/>
    <x v="0"/>
    <s v="SA58050"/>
    <s v="7499E"/>
    <x v="2"/>
    <s v="FROZEN SHEEP CAUL FAT"/>
    <x v="28"/>
    <n v="1"/>
    <n v="1"/>
    <x v="2"/>
    <n v="25000"/>
    <n v="25000"/>
    <n v="25000"/>
    <s v="KG"/>
    <n v="0"/>
    <n v="25000"/>
    <m/>
    <s v="SHEEP"/>
    <n v="0"/>
    <m/>
    <m/>
  </r>
  <r>
    <x v="1"/>
    <x v="109"/>
    <e v="#N/A"/>
    <x v="3"/>
    <x v="0"/>
    <s v="A3623"/>
    <s v="7499E"/>
    <x v="2"/>
    <s v="FROZEN SHEEP CAUL FAT"/>
    <x v="32"/>
    <n v="1"/>
    <n v="1"/>
    <x v="2"/>
    <n v="25000"/>
    <n v="25000"/>
    <n v="25000"/>
    <s v="KG"/>
    <n v="0"/>
    <n v="25000"/>
    <m/>
    <s v="SHEEP"/>
    <n v="0"/>
    <m/>
    <m/>
  </r>
  <r>
    <x v="1"/>
    <x v="33"/>
    <e v="#N/A"/>
    <x v="3"/>
    <x v="0"/>
    <s v="PO11966"/>
    <s v="6532E"/>
    <x v="4"/>
    <s v="VEAL LIVER IW"/>
    <x v="15"/>
    <n v="1.9"/>
    <n v="1.9"/>
    <x v="2"/>
    <n v="28500"/>
    <n v="28500"/>
    <n v="15000"/>
    <s v="KG"/>
    <n v="0"/>
    <n v="15000"/>
    <m/>
    <s v="VEAL"/>
    <n v="0"/>
    <m/>
    <m/>
  </r>
  <r>
    <x v="1"/>
    <x v="110"/>
    <e v="#N/A"/>
    <x v="3"/>
    <x v="0"/>
    <n v="634327"/>
    <s v="7082K"/>
    <x v="2"/>
    <s v="SHEEP TRIPE SCALDED LP"/>
    <x v="15"/>
    <n v="1.5"/>
    <n v="1.5"/>
    <x v="2"/>
    <n v="37500"/>
    <n v="37500"/>
    <n v="25000"/>
    <s v="KG"/>
    <n v="0"/>
    <n v="25000"/>
    <m/>
    <s v="SHEEP"/>
    <n v="0"/>
    <m/>
    <m/>
  </r>
  <r>
    <x v="1"/>
    <x v="111"/>
    <e v="#N/A"/>
    <x v="3"/>
    <x v="0"/>
    <s v="CNL41759"/>
    <s v="6532E"/>
    <x v="4"/>
    <s v="VEAL LIVER IW"/>
    <x v="33"/>
    <n v="2.1"/>
    <n v="2.1"/>
    <x v="2"/>
    <n v="220.5"/>
    <n v="220.5"/>
    <n v="105"/>
    <s v="KG"/>
    <n v="0"/>
    <n v="105"/>
    <m/>
    <s v="VEAL"/>
    <n v="0"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  <r>
    <x v="2"/>
    <x v="112"/>
    <m/>
    <x v="3"/>
    <x v="0"/>
    <m/>
    <m/>
    <x v="6"/>
    <m/>
    <x v="34"/>
    <m/>
    <m/>
    <x v="5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8D631-95EF-4AAE-8454-2EFB8BD15E9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G41" firstHeaderRow="0" firstDataRow="1" firstDataCol="4" rowPageCount="2" colPageCount="1"/>
  <pivotFields count="24">
    <pivotField axis="axisPage" multipleItemSelectionAllowed="1" showAll="0">
      <items count="4">
        <item h="1" x="1"/>
        <item x="0"/>
        <item h="1" x="2"/>
        <item t="default"/>
      </items>
    </pivotField>
    <pivotField axis="axisRow" outline="0" showAll="0" defaultSubtotal="0">
      <items count="121"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0"/>
        <item x="1"/>
        <item x="2"/>
        <item x="3"/>
        <item x="4"/>
        <item x="5"/>
        <item x="72"/>
        <item x="6"/>
        <item x="7"/>
        <item x="73"/>
        <item x="74"/>
        <item x="75"/>
        <item x="8"/>
        <item m="1" x="119"/>
        <item x="76"/>
        <item x="77"/>
        <item x="78"/>
        <item x="79"/>
        <item x="10"/>
        <item x="11"/>
        <item x="12"/>
        <item x="13"/>
        <item x="14"/>
        <item x="15"/>
        <item x="16"/>
        <item x="17"/>
        <item x="9"/>
        <item x="18"/>
        <item x="19"/>
        <item x="20"/>
        <item m="1" x="116"/>
        <item x="21"/>
        <item x="22"/>
        <item x="23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26"/>
        <item x="27"/>
        <item x="28"/>
        <item x="103"/>
        <item x="104"/>
        <item x="29"/>
        <item x="30"/>
        <item x="31"/>
        <item x="105"/>
        <item x="32"/>
        <item x="106"/>
        <item x="107"/>
        <item x="108"/>
        <item x="109"/>
        <item x="33"/>
        <item m="1" x="115"/>
        <item x="110"/>
        <item x="34"/>
        <item x="35"/>
        <item x="36"/>
        <item x="37"/>
        <item x="38"/>
        <item x="39"/>
        <item x="40"/>
        <item m="1" x="117"/>
        <item m="1" x="120"/>
        <item m="1" x="113"/>
        <item x="41"/>
        <item m="1" x="118"/>
        <item x="42"/>
        <item m="1" x="114"/>
        <item x="43"/>
        <item x="44"/>
        <item x="111"/>
        <item x="45"/>
        <item x="112"/>
        <item x="46"/>
        <item x="47"/>
        <item x="48"/>
        <item x="49"/>
        <item x="50"/>
        <item x="51"/>
        <item x="24"/>
        <item x="25"/>
        <item x="52"/>
      </items>
    </pivotField>
    <pivotField showAll="0"/>
    <pivotField axis="axisPage" multipleItemSelectionAllowed="1" showAll="0">
      <items count="5">
        <item x="2"/>
        <item h="1" x="3"/>
        <item h="1" x="0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axis="axisRow" outline="0" multipleItemSelectionAllowed="1" showAll="0" defaultSubtotal="0">
      <items count="7">
        <item x="0"/>
        <item x="1"/>
        <item x="3"/>
        <item h="1" x="5"/>
        <item x="2"/>
        <item x="4"/>
        <item h="1" x="6"/>
      </items>
    </pivotField>
    <pivotField showAll="0"/>
    <pivotField axis="axisRow" outline="0" showAll="0" defaultSubtotal="0">
      <items count="37">
        <item x="15"/>
        <item x="2"/>
        <item x="29"/>
        <item x="31"/>
        <item m="1" x="36"/>
        <item x="23"/>
        <item x="3"/>
        <item x="0"/>
        <item x="11"/>
        <item x="10"/>
        <item x="26"/>
        <item x="20"/>
        <item x="30"/>
        <item x="17"/>
        <item x="6"/>
        <item x="19"/>
        <item x="21"/>
        <item x="32"/>
        <item x="27"/>
        <item x="25"/>
        <item x="1"/>
        <item x="4"/>
        <item x="5"/>
        <item x="28"/>
        <item x="9"/>
        <item x="12"/>
        <item x="13"/>
        <item x="14"/>
        <item x="22"/>
        <item x="8"/>
        <item m="1" x="35"/>
        <item x="33"/>
        <item x="24"/>
        <item x="7"/>
        <item x="34"/>
        <item x="16"/>
        <item x="18"/>
      </items>
    </pivotField>
    <pivotField showAll="0"/>
    <pivotField dataField="1" showAll="0"/>
    <pivotField showAll="0"/>
    <pivotField numFmtId="167" showAll="0"/>
    <pivotField dataField="1" numFmtId="167" showAll="0"/>
    <pivotField dataField="1" numFmtId="167" showAll="0"/>
    <pivotField showAll="0"/>
    <pivotField numFmtId="167" showAll="0"/>
    <pivotField numFmtId="167" showAll="0"/>
    <pivotField showAll="0"/>
    <pivotField showAll="0"/>
    <pivotField showAll="0"/>
    <pivotField showAll="0"/>
    <pivotField showAll="0"/>
  </pivotFields>
  <rowFields count="4">
    <field x="1"/>
    <field x="9"/>
    <field x="7"/>
    <field x="4"/>
  </rowFields>
  <rowItems count="36">
    <i>
      <x v="39"/>
      <x v="29"/>
      <x v="4"/>
      <x v="2"/>
    </i>
    <i>
      <x v="40"/>
      <x v="24"/>
      <x v="4"/>
      <x/>
    </i>
    <i>
      <x v="41"/>
      <x v="24"/>
      <x v="4"/>
      <x/>
    </i>
    <i>
      <x v="42"/>
      <x v="9"/>
      <x v="4"/>
      <x/>
    </i>
    <i>
      <x v="43"/>
      <x v="9"/>
      <x v="4"/>
      <x/>
    </i>
    <i>
      <x v="44"/>
      <x v="9"/>
      <x v="4"/>
      <x/>
    </i>
    <i>
      <x v="45"/>
      <x v="14"/>
      <x v="2"/>
      <x v="1"/>
    </i>
    <i>
      <x v="46"/>
      <x v="8"/>
      <x/>
      <x/>
    </i>
    <i>
      <x v="47"/>
      <x v="8"/>
      <x/>
      <x/>
    </i>
    <i>
      <x v="48"/>
      <x v="25"/>
      <x/>
      <x/>
    </i>
    <i>
      <x v="50"/>
      <x v="8"/>
      <x/>
      <x/>
    </i>
    <i>
      <x v="51"/>
      <x v="25"/>
      <x v="4"/>
      <x/>
    </i>
    <i>
      <x v="52"/>
      <x v="25"/>
      <x v="4"/>
      <x/>
    </i>
    <i>
      <x v="85"/>
      <x v="27"/>
      <x/>
      <x/>
    </i>
    <i>
      <x v="93"/>
      <x/>
      <x v="5"/>
      <x/>
    </i>
    <i>
      <x v="94"/>
      <x/>
      <x v="5"/>
      <x/>
    </i>
    <i>
      <x v="95"/>
      <x/>
      <x v="5"/>
      <x/>
    </i>
    <i>
      <x v="96"/>
      <x/>
      <x v="5"/>
      <x/>
    </i>
    <i>
      <x v="97"/>
      <x/>
      <x v="5"/>
      <x/>
    </i>
    <i>
      <x v="98"/>
      <x/>
      <x v="5"/>
      <x/>
    </i>
    <i>
      <x v="99"/>
      <x/>
      <x v="5"/>
      <x/>
    </i>
    <i>
      <x v="103"/>
      <x v="26"/>
      <x/>
      <x/>
    </i>
    <i>
      <x v="105"/>
      <x/>
      <x v="1"/>
      <x v="3"/>
    </i>
    <i>
      <x v="107"/>
      <x v="26"/>
      <x v="1"/>
      <x/>
    </i>
    <i>
      <x v="108"/>
      <x v="26"/>
      <x v="1"/>
      <x/>
    </i>
    <i>
      <x v="110"/>
      <x/>
      <x/>
      <x/>
    </i>
    <i>
      <x v="112"/>
      <x v="35"/>
      <x v="5"/>
      <x/>
    </i>
    <i>
      <x v="113"/>
      <x v="35"/>
      <x v="5"/>
      <x/>
    </i>
    <i>
      <x v="114"/>
      <x v="13"/>
      <x/>
      <x/>
    </i>
    <i>
      <x v="115"/>
      <x v="36"/>
      <x v="1"/>
      <x v="3"/>
    </i>
    <i>
      <x v="116"/>
      <x v="13"/>
      <x/>
      <x/>
    </i>
    <i>
      <x v="117"/>
      <x v="13"/>
      <x/>
      <x/>
    </i>
    <i>
      <x v="118"/>
      <x v="8"/>
      <x/>
      <x/>
    </i>
    <i>
      <x v="119"/>
      <x v="8"/>
      <x/>
      <x/>
    </i>
    <i>
      <x v="120"/>
      <x v="13"/>
      <x/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3" hier="-1"/>
  </pageFields>
  <dataFields count="3">
    <dataField name="Sum of Total QTY" fld="15" baseField="0" baseItem="0" numFmtId="167"/>
    <dataField name="Average of Price AUD" fld="11" subtotal="average" baseField="7" baseItem="9" numFmtId="2"/>
    <dataField name="Sum of Amount AUD" fld="14" baseField="0" baseItem="0" numFmtId="167"/>
  </dataFields>
  <formats count="4">
    <format dxfId="6">
      <pivotArea field="1" type="button" dataOnly="0" labelOnly="1" outline="0" axis="axisRow" fieldPosition="0"/>
    </format>
    <format dxfId="5">
      <pivotArea field="9" type="button" dataOnly="0" labelOnly="1" outline="0" axis="axisRow" fieldPosition="1"/>
    </format>
    <format dxfId="4">
      <pivotArea field="7" type="button" dataOnly="0" labelOnly="1" outline="0" axis="axisRow" fieldPosition="2"/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84DB5-4AF3-4BDE-B015-A9A759F58E99}">
  <sheetPr codeName="Sheet1"/>
  <dimension ref="A1:AN56"/>
  <sheetViews>
    <sheetView tabSelected="1" zoomScale="98" workbookViewId="0">
      <pane xSplit="5" ySplit="7" topLeftCell="V8" activePane="bottomRight" state="frozen"/>
      <selection pane="topRight" activeCell="F1" sqref="F1"/>
      <selection pane="bottomLeft" activeCell="A8" sqref="A8"/>
      <selection pane="bottomRight" activeCell="X8" sqref="X8"/>
    </sheetView>
  </sheetViews>
  <sheetFormatPr defaultRowHeight="14.25" x14ac:dyDescent="0.45"/>
  <cols>
    <col min="1" max="1" width="4" style="21" customWidth="1"/>
    <col min="2" max="2" width="11.265625" customWidth="1"/>
    <col min="3" max="3" width="32.265625" bestFit="1" customWidth="1"/>
    <col min="5" max="6" width="12.265625" customWidth="1"/>
    <col min="7" max="7" width="7.59765625" bestFit="1" customWidth="1"/>
    <col min="8" max="8" width="13.265625" bestFit="1" customWidth="1"/>
    <col min="9" max="9" width="14.73046875" style="14" customWidth="1"/>
    <col min="10" max="10" width="5.265625" style="14" customWidth="1"/>
    <col min="11" max="11" width="7.59765625" style="14" customWidth="1"/>
    <col min="12" max="12" width="14.265625" style="14" customWidth="1"/>
    <col min="13" max="15" width="9.73046875" style="14" customWidth="1"/>
    <col min="16" max="16" width="12.73046875" style="14" customWidth="1"/>
    <col min="17" max="17" width="9.73046875" style="14" customWidth="1"/>
    <col min="18" max="18" width="13.73046875" style="109" bestFit="1" customWidth="1"/>
    <col min="19" max="19" width="19.265625" style="21" customWidth="1"/>
    <col min="20" max="20" width="11.265625" style="21" customWidth="1"/>
    <col min="21" max="21" width="16.73046875" style="22" customWidth="1"/>
    <col min="22" max="22" width="13.3984375" style="22" customWidth="1"/>
    <col min="23" max="23" width="9.06640625" style="21"/>
    <col min="24" max="32" width="10.59765625" style="21" customWidth="1"/>
    <col min="33" max="39" width="8.73046875" style="21"/>
  </cols>
  <sheetData>
    <row r="1" spans="2:40" x14ac:dyDescent="0.45">
      <c r="X1" s="110" t="s">
        <v>195</v>
      </c>
      <c r="Y1" s="128">
        <v>22</v>
      </c>
      <c r="AC1" s="129">
        <v>0.83</v>
      </c>
      <c r="AD1" s="21" t="s">
        <v>198</v>
      </c>
    </row>
    <row r="2" spans="2:40" x14ac:dyDescent="0.45">
      <c r="X2" s="110" t="s">
        <v>121</v>
      </c>
      <c r="Y2" s="128">
        <v>18</v>
      </c>
      <c r="AC2" s="129">
        <v>0.83</v>
      </c>
      <c r="AD2" s="21" t="s">
        <v>198</v>
      </c>
    </row>
    <row r="3" spans="2:40" x14ac:dyDescent="0.45">
      <c r="X3" s="110" t="s">
        <v>123</v>
      </c>
      <c r="Y3" s="128">
        <v>14</v>
      </c>
      <c r="AC3" s="129">
        <v>0.77</v>
      </c>
      <c r="AD3" s="21" t="s">
        <v>198</v>
      </c>
    </row>
    <row r="4" spans="2:40" s="21" customFormat="1" ht="14.65" thickBot="1" x14ac:dyDescent="0.5">
      <c r="I4" s="22"/>
      <c r="J4" s="22"/>
      <c r="K4" s="22"/>
      <c r="L4" s="22"/>
      <c r="M4" s="22"/>
      <c r="N4" s="22"/>
      <c r="O4" s="22"/>
      <c r="P4" s="22"/>
      <c r="Q4" s="22"/>
      <c r="R4" s="107"/>
      <c r="U4" s="22"/>
      <c r="V4" s="22"/>
      <c r="X4" s="110" t="s">
        <v>124</v>
      </c>
      <c r="Y4" s="128">
        <v>17</v>
      </c>
      <c r="AC4" s="129">
        <v>0.5</v>
      </c>
    </row>
    <row r="5" spans="2:40" s="21" customFormat="1" ht="14.65" thickBot="1" x14ac:dyDescent="0.5">
      <c r="B5" s="121" t="s">
        <v>191</v>
      </c>
      <c r="C5" s="122"/>
      <c r="D5" s="122"/>
      <c r="E5" s="122"/>
      <c r="F5" s="122"/>
      <c r="G5" s="122"/>
      <c r="H5" s="123"/>
      <c r="I5" s="31" t="s">
        <v>114</v>
      </c>
      <c r="J5" s="83"/>
      <c r="K5" s="22"/>
      <c r="L5" s="26" t="s">
        <v>110</v>
      </c>
      <c r="M5" s="22"/>
      <c r="N5"/>
      <c r="O5" s="22"/>
      <c r="P5" s="26" t="s">
        <v>110</v>
      </c>
      <c r="Q5" s="22"/>
      <c r="R5" s="107"/>
      <c r="U5" s="22"/>
      <c r="V5" s="22"/>
      <c r="X5" s="114">
        <v>0.3</v>
      </c>
      <c r="Z5" s="112">
        <v>3</v>
      </c>
    </row>
    <row r="6" spans="2:40" s="21" customFormat="1" ht="14.65" thickBot="1" x14ac:dyDescent="0.5">
      <c r="I6" s="22"/>
      <c r="J6" s="22"/>
      <c r="K6" s="22"/>
      <c r="L6" s="22"/>
      <c r="M6" s="22"/>
      <c r="N6" s="22"/>
      <c r="O6" s="22"/>
      <c r="P6" s="22"/>
      <c r="Q6" s="22"/>
      <c r="R6" s="107"/>
      <c r="U6" s="22"/>
      <c r="V6" s="22"/>
    </row>
    <row r="7" spans="2:40" ht="43.15" thickBot="1" x14ac:dyDescent="0.5">
      <c r="B7" s="23" t="s">
        <v>4</v>
      </c>
      <c r="C7" s="23" t="s">
        <v>5</v>
      </c>
      <c r="D7" s="23" t="s">
        <v>6</v>
      </c>
      <c r="E7" s="24" t="s">
        <v>7</v>
      </c>
      <c r="F7" s="23" t="s">
        <v>8</v>
      </c>
      <c r="G7" s="23" t="s">
        <v>9</v>
      </c>
      <c r="H7" s="23" t="s">
        <v>10</v>
      </c>
      <c r="I7" s="20" t="s">
        <v>94</v>
      </c>
      <c r="J7" s="16" t="s">
        <v>93</v>
      </c>
      <c r="K7" s="16" t="s">
        <v>95</v>
      </c>
      <c r="L7" s="20" t="s">
        <v>106</v>
      </c>
      <c r="M7" s="16" t="s">
        <v>98</v>
      </c>
      <c r="N7" s="16" t="s">
        <v>102</v>
      </c>
      <c r="O7" s="16" t="s">
        <v>101</v>
      </c>
      <c r="P7" s="16" t="s">
        <v>105</v>
      </c>
      <c r="Q7" s="16" t="s">
        <v>99</v>
      </c>
      <c r="R7" s="108" t="s">
        <v>189</v>
      </c>
      <c r="S7" s="16" t="s">
        <v>109</v>
      </c>
      <c r="T7" s="27" t="s">
        <v>111</v>
      </c>
      <c r="U7" s="28" t="s">
        <v>112</v>
      </c>
      <c r="V7" s="28" t="s">
        <v>113</v>
      </c>
      <c r="X7" s="113" t="s">
        <v>9</v>
      </c>
      <c r="Y7" s="111" t="s">
        <v>98</v>
      </c>
      <c r="Z7" s="111" t="s">
        <v>102</v>
      </c>
      <c r="AA7" s="111" t="s">
        <v>101</v>
      </c>
      <c r="AB7" s="111" t="s">
        <v>201</v>
      </c>
      <c r="AC7" s="27" t="s">
        <v>199</v>
      </c>
      <c r="AD7" s="111" t="s">
        <v>200</v>
      </c>
      <c r="AE7" s="116" t="s">
        <v>196</v>
      </c>
      <c r="AF7" s="116" t="s">
        <v>197</v>
      </c>
      <c r="AN7" s="21"/>
    </row>
    <row r="8" spans="2:40" x14ac:dyDescent="0.45">
      <c r="B8" s="81" t="s">
        <v>22</v>
      </c>
      <c r="C8" s="82" t="s">
        <v>23</v>
      </c>
      <c r="D8" s="6" t="s">
        <v>19</v>
      </c>
      <c r="E8" s="82" t="s">
        <v>24</v>
      </c>
      <c r="F8" s="8">
        <v>25000</v>
      </c>
      <c r="G8" s="9">
        <v>10.144927536231885</v>
      </c>
      <c r="H8" s="8">
        <v>250000.00000000003</v>
      </c>
      <c r="I8" s="6" t="s">
        <v>108</v>
      </c>
      <c r="J8" s="6" t="s">
        <v>11</v>
      </c>
      <c r="K8" s="19">
        <f t="shared" ref="K8:K32" si="0">IF(J8="CIF",G8-0.3,G8)</f>
        <v>9.844927536231884</v>
      </c>
      <c r="L8" s="33">
        <v>8.4</v>
      </c>
      <c r="M8" s="19">
        <f>_xlfn.IFNA(VLOOKUP(I8,Sheet1!D:E,2,FALSE),0)</f>
        <v>4</v>
      </c>
      <c r="N8" s="19">
        <f>_xlfn.IFNA(VLOOKUP(D8,Sheet1!G:H,2,FALSE),0)</f>
        <v>8</v>
      </c>
      <c r="O8" s="19">
        <f>_xlfn.IFNA(VLOOKUP(D8,Sheet1!K:L,2,FALSE),0)</f>
        <v>10</v>
      </c>
      <c r="P8" s="34">
        <v>22</v>
      </c>
      <c r="Q8" s="19">
        <f t="shared" ref="Q8:Q28" si="1">IF(P8&gt;0,(K8-L8)*P8+N8+O8-M8,0)</f>
        <v>45.78840579710144</v>
      </c>
      <c r="R8" s="109">
        <f>197005.8/2</f>
        <v>98502.9</v>
      </c>
      <c r="S8" s="25"/>
      <c r="T8" s="32">
        <f>IF(P8&gt;0,(K8)-((40+M8-O8-N8)/P8),0)</f>
        <v>8.6631093544137023</v>
      </c>
      <c r="U8" s="29">
        <f t="shared" ref="U8:U28" si="2">IF(P8&gt;0,(F8/P8),0)</f>
        <v>1136.3636363636363</v>
      </c>
      <c r="V8" s="30">
        <f t="shared" ref="V8:V28" si="3">(L8*F8)</f>
        <v>210000</v>
      </c>
      <c r="X8" s="19">
        <f>$G8-$X$5</f>
        <v>9.844927536231884</v>
      </c>
      <c r="Y8" s="19">
        <f>$M8/VLOOKUP($D8,$X$1:$Y$4,2,0)</f>
        <v>0.18181818181818182</v>
      </c>
      <c r="Z8" s="19">
        <f>$N8/VLOOKUP($D8,$X$1:$Y$4,2,0)</f>
        <v>0.36363636363636365</v>
      </c>
      <c r="AA8" s="19">
        <f>$O8/VLOOKUP($D8,$X$1:$Y$4,2,0)</f>
        <v>0.45454545454545453</v>
      </c>
      <c r="AB8" s="115">
        <f>X8-L8-Y8+Z8+AA8</f>
        <v>2.0812911725955199</v>
      </c>
      <c r="AC8" s="115">
        <f t="shared" ref="AC8:AC34" si="4">$X8*VLOOKUP($D8,$X$1:$AC$4,6,0)</f>
        <v>8.1712898550724642</v>
      </c>
      <c r="AD8" s="115">
        <f t="shared" ref="AD8:AD34" si="5">X8-AC8-Y8+Z8+AA8</f>
        <v>2.310001317523056</v>
      </c>
      <c r="AE8" s="117">
        <f t="shared" ref="AE8:AE34" si="6">AC8-T8</f>
        <v>-0.49181949934123814</v>
      </c>
      <c r="AF8" s="117">
        <f t="shared" ref="AF8:AF34" si="7">AC8-L8</f>
        <v>-0.22871014492753616</v>
      </c>
      <c r="AG8" s="115"/>
      <c r="AN8" s="21"/>
    </row>
    <row r="9" spans="2:40" x14ac:dyDescent="0.45">
      <c r="B9" s="81" t="s">
        <v>27</v>
      </c>
      <c r="C9" s="82" t="s">
        <v>23</v>
      </c>
      <c r="D9" s="6" t="s">
        <v>19</v>
      </c>
      <c r="E9" s="82" t="s">
        <v>24</v>
      </c>
      <c r="F9" s="8">
        <v>25000</v>
      </c>
      <c r="G9" s="9">
        <v>10.144927536231885</v>
      </c>
      <c r="H9" s="8">
        <v>250000.00000000003</v>
      </c>
      <c r="I9" s="6" t="s">
        <v>108</v>
      </c>
      <c r="J9" s="6" t="s">
        <v>11</v>
      </c>
      <c r="K9" s="19">
        <f t="shared" si="0"/>
        <v>9.844927536231884</v>
      </c>
      <c r="L9" s="33">
        <v>8.4</v>
      </c>
      <c r="M9" s="19">
        <f>_xlfn.IFNA(VLOOKUP(I9,Sheet1!D:E,2,FALSE),0)</f>
        <v>4</v>
      </c>
      <c r="N9" s="19">
        <f>_xlfn.IFNA(VLOOKUP(D9,Sheet1!G:H,2,FALSE),0)</f>
        <v>8</v>
      </c>
      <c r="O9" s="19">
        <f>_xlfn.IFNA(VLOOKUP(D9,Sheet1!K:L,2,FALSE),0)</f>
        <v>10</v>
      </c>
      <c r="P9" s="34">
        <v>22</v>
      </c>
      <c r="Q9" s="19">
        <f t="shared" si="1"/>
        <v>45.78840579710144</v>
      </c>
      <c r="R9" s="109">
        <f t="shared" ref="R9" si="8">197005.8/2</f>
        <v>98502.9</v>
      </c>
      <c r="S9" s="25"/>
      <c r="T9" s="32">
        <f t="shared" ref="T9:T31" si="9">IF(P9&gt;0,(K9)-((40+M9-O9-N9)/P9),0)</f>
        <v>8.6631093544137023</v>
      </c>
      <c r="U9" s="29">
        <f t="shared" si="2"/>
        <v>1136.3636363636363</v>
      </c>
      <c r="V9" s="30">
        <f t="shared" si="3"/>
        <v>210000</v>
      </c>
      <c r="X9" s="19">
        <f t="shared" ref="X9:X34" si="10">$G9-$X$5</f>
        <v>9.844927536231884</v>
      </c>
      <c r="Y9" s="19">
        <f t="shared" ref="Y9:Y34" si="11">$M9/VLOOKUP($D9,$X$1:$Y$4,2,0)</f>
        <v>0.18181818181818182</v>
      </c>
      <c r="Z9" s="19">
        <f t="shared" ref="Z9:Z34" si="12">$N9/VLOOKUP($D9,$X$1:$Y$4,2,0)</f>
        <v>0.36363636363636365</v>
      </c>
      <c r="AA9" s="19">
        <f t="shared" ref="AA9:AA34" si="13">$O9/VLOOKUP($D9,$X$1:$Y$4,2,0)</f>
        <v>0.45454545454545453</v>
      </c>
      <c r="AB9" s="115">
        <f t="shared" ref="AB9:AB34" si="14">X9-L9-Y9+Z9+AA9</f>
        <v>2.0812911725955199</v>
      </c>
      <c r="AC9" s="115">
        <f t="shared" si="4"/>
        <v>8.1712898550724642</v>
      </c>
      <c r="AD9" s="115">
        <f t="shared" si="5"/>
        <v>2.310001317523056</v>
      </c>
      <c r="AE9" s="117">
        <f t="shared" si="6"/>
        <v>-0.49181949934123814</v>
      </c>
      <c r="AF9" s="117">
        <f t="shared" si="7"/>
        <v>-0.22871014492753616</v>
      </c>
      <c r="AN9" s="21"/>
    </row>
    <row r="10" spans="2:40" x14ac:dyDescent="0.45">
      <c r="B10" s="81" t="s">
        <v>29</v>
      </c>
      <c r="C10" s="82" t="s">
        <v>30</v>
      </c>
      <c r="D10" s="6" t="s">
        <v>19</v>
      </c>
      <c r="E10" s="82" t="s">
        <v>24</v>
      </c>
      <c r="F10" s="8">
        <v>22000</v>
      </c>
      <c r="G10" s="9">
        <v>9.7101449275362324</v>
      </c>
      <c r="H10" s="8">
        <v>210571.42857142858</v>
      </c>
      <c r="I10" s="6" t="s">
        <v>108</v>
      </c>
      <c r="J10" s="6" t="s">
        <v>11</v>
      </c>
      <c r="K10" s="19">
        <f t="shared" si="0"/>
        <v>9.4101449275362317</v>
      </c>
      <c r="L10" s="33">
        <v>8.4</v>
      </c>
      <c r="M10" s="19">
        <f>_xlfn.IFNA(VLOOKUP(I10,Sheet1!D:E,2,FALSE),0)</f>
        <v>4</v>
      </c>
      <c r="N10" s="19">
        <f>_xlfn.IFNA(VLOOKUP(D10,Sheet1!G:H,2,FALSE),0)</f>
        <v>8</v>
      </c>
      <c r="O10" s="19">
        <f>_xlfn.IFNA(VLOOKUP(D10,Sheet1!K:L,2,FALSE),0)</f>
        <v>10</v>
      </c>
      <c r="P10" s="34">
        <v>28</v>
      </c>
      <c r="Q10" s="19">
        <f t="shared" si="1"/>
        <v>42.284057971014477</v>
      </c>
      <c r="S10" s="25"/>
      <c r="T10" s="32">
        <f t="shared" si="9"/>
        <v>8.4815734989648028</v>
      </c>
      <c r="U10" s="29">
        <f t="shared" si="2"/>
        <v>785.71428571428567</v>
      </c>
      <c r="V10" s="30">
        <f t="shared" si="3"/>
        <v>184800</v>
      </c>
      <c r="X10" s="19">
        <f t="shared" si="10"/>
        <v>9.4101449275362317</v>
      </c>
      <c r="Y10" s="19">
        <f t="shared" si="11"/>
        <v>0.18181818181818182</v>
      </c>
      <c r="Z10" s="19">
        <f t="shared" si="12"/>
        <v>0.36363636363636365</v>
      </c>
      <c r="AA10" s="19">
        <f t="shared" si="13"/>
        <v>0.45454545454545453</v>
      </c>
      <c r="AB10" s="115">
        <f t="shared" si="14"/>
        <v>1.6465085638998675</v>
      </c>
      <c r="AC10" s="115">
        <f t="shared" si="4"/>
        <v>7.8104202898550721</v>
      </c>
      <c r="AD10" s="115">
        <f t="shared" si="5"/>
        <v>2.2360882740447958</v>
      </c>
      <c r="AE10" s="117">
        <f t="shared" si="6"/>
        <v>-0.67115320910973075</v>
      </c>
      <c r="AF10" s="117">
        <f t="shared" si="7"/>
        <v>-0.58957971014492827</v>
      </c>
      <c r="AN10" s="21"/>
    </row>
    <row r="11" spans="2:40" x14ac:dyDescent="0.45">
      <c r="B11" s="81" t="s">
        <v>35</v>
      </c>
      <c r="C11" s="82" t="s">
        <v>30</v>
      </c>
      <c r="D11" s="6" t="s">
        <v>19</v>
      </c>
      <c r="E11" s="82" t="s">
        <v>24</v>
      </c>
      <c r="F11" s="8">
        <v>25000</v>
      </c>
      <c r="G11" s="9">
        <v>10.072463768115943</v>
      </c>
      <c r="H11" s="8">
        <v>248214.28571428574</v>
      </c>
      <c r="I11" s="6" t="s">
        <v>108</v>
      </c>
      <c r="J11" s="6" t="s">
        <v>11</v>
      </c>
      <c r="K11" s="19">
        <f t="shared" si="0"/>
        <v>9.7724637681159425</v>
      </c>
      <c r="L11" s="33">
        <v>8.4</v>
      </c>
      <c r="M11" s="19">
        <f>_xlfn.IFNA(VLOOKUP(I11,Sheet1!D:E,2,FALSE),0)</f>
        <v>4</v>
      </c>
      <c r="N11" s="19">
        <f>_xlfn.IFNA(VLOOKUP(D11,Sheet1!G:H,2,FALSE),0)</f>
        <v>8</v>
      </c>
      <c r="O11" s="19">
        <f>_xlfn.IFNA(VLOOKUP(D11,Sheet1!K:L,2,FALSE),0)</f>
        <v>10</v>
      </c>
      <c r="P11" s="34">
        <v>22</v>
      </c>
      <c r="Q11" s="19">
        <f t="shared" si="1"/>
        <v>44.194202898550728</v>
      </c>
      <c r="S11" s="25"/>
      <c r="T11" s="32">
        <f t="shared" si="9"/>
        <v>8.5906455862977609</v>
      </c>
      <c r="U11" s="29">
        <f t="shared" si="2"/>
        <v>1136.3636363636363</v>
      </c>
      <c r="V11" s="30">
        <f t="shared" si="3"/>
        <v>210000</v>
      </c>
      <c r="X11" s="19">
        <f t="shared" si="10"/>
        <v>9.7724637681159425</v>
      </c>
      <c r="Y11" s="19">
        <f t="shared" si="11"/>
        <v>0.18181818181818182</v>
      </c>
      <c r="Z11" s="19">
        <f t="shared" si="12"/>
        <v>0.36363636363636365</v>
      </c>
      <c r="AA11" s="19">
        <f t="shared" si="13"/>
        <v>0.45454545454545453</v>
      </c>
      <c r="AB11" s="115">
        <f t="shared" si="14"/>
        <v>2.0088274044795784</v>
      </c>
      <c r="AC11" s="115">
        <f t="shared" si="4"/>
        <v>8.1111449275362322</v>
      </c>
      <c r="AD11" s="115">
        <f t="shared" si="5"/>
        <v>2.2976824769433466</v>
      </c>
      <c r="AE11" s="117">
        <f t="shared" si="6"/>
        <v>-0.4795006587615287</v>
      </c>
      <c r="AF11" s="117">
        <f t="shared" si="7"/>
        <v>-0.28885507246376818</v>
      </c>
      <c r="AN11" s="21"/>
    </row>
    <row r="12" spans="2:40" ht="15.6" customHeight="1" x14ac:dyDescent="0.45">
      <c r="B12" s="81" t="s">
        <v>39</v>
      </c>
      <c r="C12" s="82" t="s">
        <v>40</v>
      </c>
      <c r="D12" s="6" t="s">
        <v>41</v>
      </c>
      <c r="E12" s="82" t="s">
        <v>24</v>
      </c>
      <c r="F12" s="8">
        <v>24999</v>
      </c>
      <c r="G12" s="9">
        <v>10.000000000000002</v>
      </c>
      <c r="H12" s="8">
        <v>246418.71428571432</v>
      </c>
      <c r="I12" s="6" t="s">
        <v>108</v>
      </c>
      <c r="J12" s="6" t="s">
        <v>11</v>
      </c>
      <c r="K12" s="19">
        <f t="shared" si="0"/>
        <v>9.7000000000000011</v>
      </c>
      <c r="L12" s="33">
        <v>7.7</v>
      </c>
      <c r="M12" s="19">
        <f>_xlfn.IFNA(VLOOKUP(I12,Sheet1!D:E,2,FALSE),0)</f>
        <v>4</v>
      </c>
      <c r="N12" s="19">
        <f>_xlfn.IFNA(VLOOKUP(D12,Sheet1!G:H,2,FALSE),0)</f>
        <v>6</v>
      </c>
      <c r="O12" s="19">
        <v>0.5</v>
      </c>
      <c r="P12" s="34">
        <v>14</v>
      </c>
      <c r="Q12" s="19">
        <f t="shared" si="1"/>
        <v>30.500000000000014</v>
      </c>
      <c r="R12" s="109">
        <f>240755.99/2</f>
        <v>120377.995</v>
      </c>
      <c r="S12" s="25"/>
      <c r="T12" s="32">
        <f t="shared" si="9"/>
        <v>7.0214285714285722</v>
      </c>
      <c r="U12" s="29">
        <f t="shared" si="2"/>
        <v>1785.6428571428571</v>
      </c>
      <c r="V12" s="30">
        <f t="shared" si="3"/>
        <v>192492.30000000002</v>
      </c>
      <c r="X12" s="19">
        <f t="shared" si="10"/>
        <v>9.7000000000000011</v>
      </c>
      <c r="Y12" s="19">
        <f t="shared" si="11"/>
        <v>0.2857142857142857</v>
      </c>
      <c r="Z12" s="19">
        <f t="shared" si="12"/>
        <v>0.42857142857142855</v>
      </c>
      <c r="AA12" s="19">
        <f t="shared" si="13"/>
        <v>3.5714285714285712E-2</v>
      </c>
      <c r="AB12" s="115">
        <f t="shared" si="14"/>
        <v>2.1785714285714293</v>
      </c>
      <c r="AC12" s="115">
        <f t="shared" si="4"/>
        <v>7.4690000000000012</v>
      </c>
      <c r="AD12" s="115">
        <f t="shared" si="5"/>
        <v>2.4095714285714283</v>
      </c>
      <c r="AE12" s="117">
        <f t="shared" si="6"/>
        <v>0.44757142857142895</v>
      </c>
      <c r="AF12" s="117">
        <f t="shared" si="7"/>
        <v>-0.23099999999999898</v>
      </c>
      <c r="AN12" s="21"/>
    </row>
    <row r="13" spans="2:40" ht="15.6" customHeight="1" x14ac:dyDescent="0.45">
      <c r="B13" s="81" t="s">
        <v>42</v>
      </c>
      <c r="C13" s="82" t="s">
        <v>40</v>
      </c>
      <c r="D13" s="6" t="s">
        <v>41</v>
      </c>
      <c r="E13" s="82" t="s">
        <v>24</v>
      </c>
      <c r="F13" s="8">
        <v>24999</v>
      </c>
      <c r="G13" s="9">
        <v>10.000000000000002</v>
      </c>
      <c r="H13" s="8">
        <v>246418.71428571432</v>
      </c>
      <c r="I13" s="6" t="s">
        <v>108</v>
      </c>
      <c r="J13" s="6" t="s">
        <v>11</v>
      </c>
      <c r="K13" s="19">
        <f t="shared" si="0"/>
        <v>9.7000000000000011</v>
      </c>
      <c r="L13" s="33">
        <v>7.7</v>
      </c>
      <c r="M13" s="19">
        <f>_xlfn.IFNA(VLOOKUP(I13,Sheet1!D:E,2,FALSE),0)</f>
        <v>4</v>
      </c>
      <c r="N13" s="19">
        <f>_xlfn.IFNA(VLOOKUP(D13,Sheet1!G:H,2,FALSE),0)</f>
        <v>6</v>
      </c>
      <c r="O13" s="19">
        <v>0.5</v>
      </c>
      <c r="P13" s="34">
        <v>14</v>
      </c>
      <c r="Q13" s="19">
        <f t="shared" si="1"/>
        <v>30.500000000000014</v>
      </c>
      <c r="R13" s="109">
        <f t="shared" ref="R13" si="15">240755.99/2</f>
        <v>120377.995</v>
      </c>
      <c r="S13" s="25"/>
      <c r="T13" s="32">
        <f t="shared" si="9"/>
        <v>7.0214285714285722</v>
      </c>
      <c r="U13" s="29">
        <f t="shared" si="2"/>
        <v>1785.6428571428571</v>
      </c>
      <c r="V13" s="30">
        <f t="shared" si="3"/>
        <v>192492.30000000002</v>
      </c>
      <c r="X13" s="19">
        <f t="shared" si="10"/>
        <v>9.7000000000000011</v>
      </c>
      <c r="Y13" s="19">
        <f t="shared" si="11"/>
        <v>0.2857142857142857</v>
      </c>
      <c r="Z13" s="19">
        <f t="shared" si="12"/>
        <v>0.42857142857142855</v>
      </c>
      <c r="AA13" s="19">
        <f t="shared" si="13"/>
        <v>3.5714285714285712E-2</v>
      </c>
      <c r="AB13" s="115">
        <f t="shared" si="14"/>
        <v>2.1785714285714293</v>
      </c>
      <c r="AC13" s="115">
        <f t="shared" si="4"/>
        <v>7.4690000000000012</v>
      </c>
      <c r="AD13" s="115">
        <f t="shared" si="5"/>
        <v>2.4095714285714283</v>
      </c>
      <c r="AE13" s="117">
        <f t="shared" si="6"/>
        <v>0.44757142857142895</v>
      </c>
      <c r="AF13" s="117">
        <f t="shared" si="7"/>
        <v>-0.23099999999999898</v>
      </c>
      <c r="AN13" s="21"/>
    </row>
    <row r="14" spans="2:40" ht="15.6" customHeight="1" x14ac:dyDescent="0.45">
      <c r="B14" s="81" t="s">
        <v>43</v>
      </c>
      <c r="C14" s="82" t="s">
        <v>44</v>
      </c>
      <c r="D14" s="6" t="s">
        <v>41</v>
      </c>
      <c r="E14" s="82" t="s">
        <v>24</v>
      </c>
      <c r="F14" s="8">
        <v>24999</v>
      </c>
      <c r="G14" s="9">
        <v>10.000000000000002</v>
      </c>
      <c r="H14" s="8">
        <v>246418.71428571432</v>
      </c>
      <c r="I14" s="6" t="s">
        <v>108</v>
      </c>
      <c r="J14" s="6" t="s">
        <v>11</v>
      </c>
      <c r="K14" s="19">
        <f t="shared" si="0"/>
        <v>9.7000000000000011</v>
      </c>
      <c r="L14" s="33">
        <v>7.7</v>
      </c>
      <c r="M14" s="19">
        <f>_xlfn.IFNA(VLOOKUP(I14,Sheet1!D:E,2,FALSE),0)</f>
        <v>4</v>
      </c>
      <c r="N14" s="19">
        <f>_xlfn.IFNA(VLOOKUP(D14,Sheet1!G:H,2,FALSE),0)</f>
        <v>6</v>
      </c>
      <c r="O14" s="19">
        <v>0.5</v>
      </c>
      <c r="P14" s="34">
        <v>14</v>
      </c>
      <c r="Q14" s="19">
        <f t="shared" si="1"/>
        <v>30.500000000000014</v>
      </c>
      <c r="R14" s="109">
        <v>72124.63</v>
      </c>
      <c r="S14" s="25"/>
      <c r="T14" s="32">
        <f t="shared" si="9"/>
        <v>7.0214285714285722</v>
      </c>
      <c r="U14" s="29">
        <f t="shared" si="2"/>
        <v>1785.6428571428571</v>
      </c>
      <c r="V14" s="30">
        <f t="shared" si="3"/>
        <v>192492.30000000002</v>
      </c>
      <c r="X14" s="19">
        <f t="shared" si="10"/>
        <v>9.7000000000000011</v>
      </c>
      <c r="Y14" s="19">
        <f t="shared" si="11"/>
        <v>0.2857142857142857</v>
      </c>
      <c r="Z14" s="19">
        <f t="shared" si="12"/>
        <v>0.42857142857142855</v>
      </c>
      <c r="AA14" s="19">
        <f t="shared" si="13"/>
        <v>3.5714285714285712E-2</v>
      </c>
      <c r="AB14" s="115">
        <f t="shared" si="14"/>
        <v>2.1785714285714293</v>
      </c>
      <c r="AC14" s="115">
        <f t="shared" si="4"/>
        <v>7.4690000000000012</v>
      </c>
      <c r="AD14" s="115">
        <f t="shared" si="5"/>
        <v>2.4095714285714283</v>
      </c>
      <c r="AE14" s="117">
        <f t="shared" si="6"/>
        <v>0.44757142857142895</v>
      </c>
      <c r="AF14" s="117">
        <f t="shared" si="7"/>
        <v>-0.23099999999999898</v>
      </c>
      <c r="AN14" s="21"/>
    </row>
    <row r="15" spans="2:40" ht="15.6" customHeight="1" x14ac:dyDescent="0.45">
      <c r="B15" s="81" t="s">
        <v>45</v>
      </c>
      <c r="C15" s="82" t="s">
        <v>40</v>
      </c>
      <c r="D15" s="6" t="s">
        <v>41</v>
      </c>
      <c r="E15" s="82" t="s">
        <v>24</v>
      </c>
      <c r="F15" s="8">
        <v>17000</v>
      </c>
      <c r="G15" s="9">
        <v>10.289855072463768</v>
      </c>
      <c r="H15" s="8">
        <v>172428.57142857145</v>
      </c>
      <c r="I15" s="6" t="s">
        <v>96</v>
      </c>
      <c r="J15" s="6" t="s">
        <v>11</v>
      </c>
      <c r="K15" s="19">
        <f t="shared" si="0"/>
        <v>9.9898550724637669</v>
      </c>
      <c r="L15" s="33">
        <v>7.7</v>
      </c>
      <c r="M15" s="19">
        <f>_xlfn.IFNA(VLOOKUP(I15,Sheet1!D:E,2,FALSE),0)</f>
        <v>2</v>
      </c>
      <c r="N15" s="19">
        <f>_xlfn.IFNA(VLOOKUP(D15,Sheet1!G:H,2,FALSE),0)</f>
        <v>6</v>
      </c>
      <c r="O15" s="19">
        <v>0.5</v>
      </c>
      <c r="P15" s="34">
        <v>10</v>
      </c>
      <c r="Q15" s="19">
        <f t="shared" si="1"/>
        <v>27.398550724637666</v>
      </c>
      <c r="R15" s="109">
        <v>171364.63</v>
      </c>
      <c r="S15" s="106" t="s">
        <v>188</v>
      </c>
      <c r="T15" s="32">
        <f t="shared" si="9"/>
        <v>6.4398550724637671</v>
      </c>
      <c r="U15" s="29">
        <f t="shared" si="2"/>
        <v>1700</v>
      </c>
      <c r="V15" s="30">
        <f t="shared" si="3"/>
        <v>130900</v>
      </c>
      <c r="X15" s="19">
        <f t="shared" si="10"/>
        <v>9.9898550724637669</v>
      </c>
      <c r="Y15" s="19">
        <f t="shared" si="11"/>
        <v>0.14285714285714285</v>
      </c>
      <c r="Z15" s="19">
        <f t="shared" si="12"/>
        <v>0.42857142857142855</v>
      </c>
      <c r="AA15" s="19">
        <f t="shared" si="13"/>
        <v>3.5714285714285712E-2</v>
      </c>
      <c r="AB15" s="115">
        <f t="shared" si="14"/>
        <v>2.6112836438923379</v>
      </c>
      <c r="AC15" s="115">
        <f t="shared" si="4"/>
        <v>7.6921884057971006</v>
      </c>
      <c r="AD15" s="115">
        <f t="shared" si="5"/>
        <v>2.6190952380952375</v>
      </c>
      <c r="AE15" s="117">
        <f t="shared" si="6"/>
        <v>1.2523333333333335</v>
      </c>
      <c r="AF15" s="117">
        <f t="shared" si="7"/>
        <v>-7.8115942028995633E-3</v>
      </c>
      <c r="AN15" s="21"/>
    </row>
    <row r="16" spans="2:40" x14ac:dyDescent="0.45">
      <c r="B16" s="81" t="s">
        <v>46</v>
      </c>
      <c r="C16" s="82" t="s">
        <v>44</v>
      </c>
      <c r="D16" s="6" t="s">
        <v>19</v>
      </c>
      <c r="E16" s="82" t="s">
        <v>24</v>
      </c>
      <c r="F16" s="8">
        <v>25000</v>
      </c>
      <c r="G16" s="9">
        <v>9.8550724637681171</v>
      </c>
      <c r="H16" s="8">
        <v>242857.14285714287</v>
      </c>
      <c r="I16" s="6" t="s">
        <v>108</v>
      </c>
      <c r="J16" s="6" t="s">
        <v>11</v>
      </c>
      <c r="K16" s="19">
        <f t="shared" si="0"/>
        <v>9.5550724637681164</v>
      </c>
      <c r="L16" s="33">
        <v>8.4</v>
      </c>
      <c r="M16" s="19">
        <f>_xlfn.IFNA(VLOOKUP(I16,Sheet1!D:E,2,FALSE),0)</f>
        <v>4</v>
      </c>
      <c r="N16" s="19">
        <f>_xlfn.IFNA(VLOOKUP(D16,Sheet1!G:H,2,FALSE),0)</f>
        <v>8</v>
      </c>
      <c r="O16" s="19">
        <f>_xlfn.IFNA(VLOOKUP(D16,Sheet1!K:L,2,FALSE),0)</f>
        <v>10</v>
      </c>
      <c r="P16" s="34">
        <v>27</v>
      </c>
      <c r="Q16" s="19">
        <f t="shared" si="1"/>
        <v>45.186956521739134</v>
      </c>
      <c r="R16" s="109">
        <f>(93840/0.6963)/2</f>
        <v>67384.747953468323</v>
      </c>
      <c r="S16" s="25"/>
      <c r="T16" s="32">
        <f>IF(P16&gt;0,(K16)-((40+M16-O16-N16)/P16),0)</f>
        <v>8.5921095008051527</v>
      </c>
      <c r="U16" s="29">
        <f t="shared" si="2"/>
        <v>925.92592592592598</v>
      </c>
      <c r="V16" s="30">
        <f t="shared" si="3"/>
        <v>210000</v>
      </c>
      <c r="X16" s="19">
        <f t="shared" si="10"/>
        <v>9.5550724637681164</v>
      </c>
      <c r="Y16" s="19">
        <f t="shared" si="11"/>
        <v>0.18181818181818182</v>
      </c>
      <c r="Z16" s="19">
        <f t="shared" si="12"/>
        <v>0.36363636363636365</v>
      </c>
      <c r="AA16" s="19">
        <f t="shared" si="13"/>
        <v>0.45454545454545453</v>
      </c>
      <c r="AB16" s="115">
        <f t="shared" si="14"/>
        <v>1.7914361001317523</v>
      </c>
      <c r="AC16" s="115">
        <f t="shared" si="4"/>
        <v>7.9307101449275361</v>
      </c>
      <c r="AD16" s="115">
        <f t="shared" si="5"/>
        <v>2.2607259552042165</v>
      </c>
      <c r="AE16" s="117">
        <f t="shared" si="6"/>
        <v>-0.66139935587761656</v>
      </c>
      <c r="AF16" s="117">
        <f t="shared" si="7"/>
        <v>-0.46928985507246423</v>
      </c>
      <c r="AN16" s="21"/>
    </row>
    <row r="17" spans="2:40" x14ac:dyDescent="0.45">
      <c r="B17" s="81" t="s">
        <v>47</v>
      </c>
      <c r="C17" s="82" t="s">
        <v>44</v>
      </c>
      <c r="D17" s="6" t="s">
        <v>19</v>
      </c>
      <c r="E17" s="82" t="s">
        <v>24</v>
      </c>
      <c r="F17" s="8">
        <v>25000</v>
      </c>
      <c r="G17" s="9">
        <v>9.8550724637681171</v>
      </c>
      <c r="H17" s="8">
        <v>242857.14285714287</v>
      </c>
      <c r="I17" s="6" t="s">
        <v>108</v>
      </c>
      <c r="J17" s="6" t="s">
        <v>11</v>
      </c>
      <c r="K17" s="19">
        <f t="shared" si="0"/>
        <v>9.5550724637681164</v>
      </c>
      <c r="L17" s="33">
        <v>8.4</v>
      </c>
      <c r="M17" s="19">
        <f>_xlfn.IFNA(VLOOKUP(I17,Sheet1!D:E,2,FALSE),0)</f>
        <v>4</v>
      </c>
      <c r="N17" s="19">
        <f>_xlfn.IFNA(VLOOKUP(D17,Sheet1!G:H,2,FALSE),0)</f>
        <v>8</v>
      </c>
      <c r="O17" s="19">
        <f>_xlfn.IFNA(VLOOKUP(D17,Sheet1!K:L,2,FALSE),0)</f>
        <v>10</v>
      </c>
      <c r="P17" s="34">
        <v>27</v>
      </c>
      <c r="Q17" s="19">
        <f t="shared" si="1"/>
        <v>45.186956521739134</v>
      </c>
      <c r="R17" s="109">
        <f t="shared" ref="R17" si="16">(93840/0.6963)/2</f>
        <v>67384.747953468323</v>
      </c>
      <c r="S17" s="105"/>
      <c r="T17" s="32">
        <f t="shared" si="9"/>
        <v>8.5921095008051527</v>
      </c>
      <c r="U17" s="29">
        <f t="shared" si="2"/>
        <v>925.92592592592598</v>
      </c>
      <c r="V17" s="30">
        <f t="shared" si="3"/>
        <v>210000</v>
      </c>
      <c r="X17" s="19">
        <f t="shared" si="10"/>
        <v>9.5550724637681164</v>
      </c>
      <c r="Y17" s="19">
        <f t="shared" si="11"/>
        <v>0.18181818181818182</v>
      </c>
      <c r="Z17" s="19">
        <f t="shared" si="12"/>
        <v>0.36363636363636365</v>
      </c>
      <c r="AA17" s="19">
        <f t="shared" si="13"/>
        <v>0.45454545454545453</v>
      </c>
      <c r="AB17" s="115">
        <f t="shared" si="14"/>
        <v>1.7914361001317523</v>
      </c>
      <c r="AC17" s="115">
        <f t="shared" si="4"/>
        <v>7.9307101449275361</v>
      </c>
      <c r="AD17" s="115">
        <f t="shared" si="5"/>
        <v>2.2607259552042165</v>
      </c>
      <c r="AE17" s="117">
        <f t="shared" si="6"/>
        <v>-0.66139935587761656</v>
      </c>
      <c r="AF17" s="117">
        <f t="shared" si="7"/>
        <v>-0.46928985507246423</v>
      </c>
      <c r="AN17" s="21"/>
    </row>
    <row r="18" spans="2:40" x14ac:dyDescent="0.45">
      <c r="B18" s="81" t="s">
        <v>54</v>
      </c>
      <c r="C18" s="82" t="s">
        <v>52</v>
      </c>
      <c r="D18" s="6" t="s">
        <v>53</v>
      </c>
      <c r="E18" s="82" t="s">
        <v>24</v>
      </c>
      <c r="F18" s="8">
        <v>25000</v>
      </c>
      <c r="G18" s="9">
        <v>6.85</v>
      </c>
      <c r="H18" s="8">
        <v>171250</v>
      </c>
      <c r="I18" s="6" t="s">
        <v>108</v>
      </c>
      <c r="J18" s="6" t="s">
        <v>50</v>
      </c>
      <c r="K18" s="19">
        <f t="shared" si="0"/>
        <v>6.85</v>
      </c>
      <c r="L18" s="33">
        <v>3.2</v>
      </c>
      <c r="M18" s="19">
        <f>_xlfn.IFNA(VLOOKUP(I18,Sheet1!D:E,2,FALSE),0)</f>
        <v>4</v>
      </c>
      <c r="N18" s="19">
        <f>_xlfn.IFNA(VLOOKUP(D18,Sheet1!G:H,2,FALSE),0)</f>
        <v>11</v>
      </c>
      <c r="O18" s="19">
        <f>_xlfn.IFNA(VLOOKUP(D18,Sheet1!K:L,2,FALSE),0)</f>
        <v>12</v>
      </c>
      <c r="P18" s="34">
        <v>17</v>
      </c>
      <c r="Q18" s="19">
        <f t="shared" si="1"/>
        <v>81.049999999999983</v>
      </c>
      <c r="R18" s="109">
        <v>166300.88</v>
      </c>
      <c r="S18" s="25"/>
      <c r="T18" s="32">
        <f t="shared" si="9"/>
        <v>5.6147058823529408</v>
      </c>
      <c r="U18" s="29">
        <f t="shared" si="2"/>
        <v>1470.5882352941176</v>
      </c>
      <c r="V18" s="30">
        <f t="shared" si="3"/>
        <v>80000</v>
      </c>
      <c r="X18" s="19">
        <f t="shared" si="10"/>
        <v>6.55</v>
      </c>
      <c r="Y18" s="19">
        <f t="shared" si="11"/>
        <v>0.23529411764705882</v>
      </c>
      <c r="Z18" s="19">
        <f t="shared" si="12"/>
        <v>0.6470588235294118</v>
      </c>
      <c r="AA18" s="19">
        <f t="shared" si="13"/>
        <v>0.70588235294117652</v>
      </c>
      <c r="AB18" s="115">
        <f t="shared" si="14"/>
        <v>4.4676470588235286</v>
      </c>
      <c r="AC18" s="115">
        <f t="shared" si="4"/>
        <v>3.2749999999999999</v>
      </c>
      <c r="AD18" s="115">
        <f t="shared" si="5"/>
        <v>4.3926470588235293</v>
      </c>
      <c r="AE18" s="117">
        <f t="shared" si="6"/>
        <v>-2.3397058823529409</v>
      </c>
      <c r="AF18" s="117">
        <f t="shared" si="7"/>
        <v>7.4999999999999734E-2</v>
      </c>
      <c r="AN18" s="21"/>
    </row>
    <row r="19" spans="2:40" x14ac:dyDescent="0.45">
      <c r="B19" s="81" t="s">
        <v>58</v>
      </c>
      <c r="C19" s="82" t="s">
        <v>52</v>
      </c>
      <c r="D19" s="6" t="s">
        <v>53</v>
      </c>
      <c r="E19" s="82" t="s">
        <v>24</v>
      </c>
      <c r="F19" s="8">
        <v>25000</v>
      </c>
      <c r="G19" s="9">
        <v>6.85</v>
      </c>
      <c r="H19" s="8">
        <v>171250</v>
      </c>
      <c r="I19" s="6" t="s">
        <v>108</v>
      </c>
      <c r="J19" s="6" t="s">
        <v>50</v>
      </c>
      <c r="K19" s="19">
        <f t="shared" si="0"/>
        <v>6.85</v>
      </c>
      <c r="L19" s="33">
        <v>3.2</v>
      </c>
      <c r="M19" s="19">
        <f>_xlfn.IFNA(VLOOKUP(I19,Sheet1!D:E,2,FALSE),0)</f>
        <v>4</v>
      </c>
      <c r="N19" s="19">
        <f>_xlfn.IFNA(VLOOKUP(D19,Sheet1!G:H,2,FALSE),0)</f>
        <v>11</v>
      </c>
      <c r="O19" s="19">
        <f>_xlfn.IFNA(VLOOKUP(D19,Sheet1!K:L,2,FALSE),0)</f>
        <v>12</v>
      </c>
      <c r="P19" s="34">
        <v>17</v>
      </c>
      <c r="Q19" s="19">
        <f t="shared" si="1"/>
        <v>81.049999999999983</v>
      </c>
      <c r="S19" s="25"/>
      <c r="T19" s="32">
        <f t="shared" si="9"/>
        <v>5.6147058823529408</v>
      </c>
      <c r="U19" s="29">
        <f t="shared" si="2"/>
        <v>1470.5882352941176</v>
      </c>
      <c r="V19" s="30">
        <f t="shared" si="3"/>
        <v>80000</v>
      </c>
      <c r="X19" s="19">
        <f t="shared" si="10"/>
        <v>6.55</v>
      </c>
      <c r="Y19" s="19">
        <f t="shared" si="11"/>
        <v>0.23529411764705882</v>
      </c>
      <c r="Z19" s="19">
        <f t="shared" si="12"/>
        <v>0.6470588235294118</v>
      </c>
      <c r="AA19" s="19">
        <f t="shared" si="13"/>
        <v>0.70588235294117652</v>
      </c>
      <c r="AB19" s="115">
        <f t="shared" si="14"/>
        <v>4.4676470588235286</v>
      </c>
      <c r="AC19" s="115">
        <f t="shared" si="4"/>
        <v>3.2749999999999999</v>
      </c>
      <c r="AD19" s="115">
        <f t="shared" si="5"/>
        <v>4.3926470588235293</v>
      </c>
      <c r="AE19" s="117">
        <f t="shared" si="6"/>
        <v>-2.3397058823529409</v>
      </c>
      <c r="AF19" s="117">
        <f t="shared" si="7"/>
        <v>7.4999999999999734E-2</v>
      </c>
      <c r="AN19" s="21"/>
    </row>
    <row r="20" spans="2:40" x14ac:dyDescent="0.45">
      <c r="B20" s="81" t="s">
        <v>61</v>
      </c>
      <c r="C20" s="82" t="s">
        <v>52</v>
      </c>
      <c r="D20" s="6" t="s">
        <v>53</v>
      </c>
      <c r="E20" s="82" t="s">
        <v>24</v>
      </c>
      <c r="F20" s="8">
        <v>25000</v>
      </c>
      <c r="G20" s="9">
        <v>6.85</v>
      </c>
      <c r="H20" s="8">
        <v>171250</v>
      </c>
      <c r="I20" s="6" t="s">
        <v>108</v>
      </c>
      <c r="J20" s="6" t="s">
        <v>50</v>
      </c>
      <c r="K20" s="19">
        <f t="shared" si="0"/>
        <v>6.85</v>
      </c>
      <c r="L20" s="33">
        <v>3.2</v>
      </c>
      <c r="M20" s="19">
        <f>_xlfn.IFNA(VLOOKUP(I20,Sheet1!D:E,2,FALSE),0)</f>
        <v>4</v>
      </c>
      <c r="N20" s="19">
        <f>_xlfn.IFNA(VLOOKUP(D20,Sheet1!G:H,2,FALSE),0)</f>
        <v>11</v>
      </c>
      <c r="O20" s="19">
        <f>_xlfn.IFNA(VLOOKUP(D20,Sheet1!K:L,2,FALSE),0)</f>
        <v>12</v>
      </c>
      <c r="P20" s="34">
        <v>17</v>
      </c>
      <c r="Q20" s="19">
        <f t="shared" si="1"/>
        <v>81.049999999999983</v>
      </c>
      <c r="S20" s="25"/>
      <c r="T20" s="32">
        <f t="shared" si="9"/>
        <v>5.6147058823529408</v>
      </c>
      <c r="U20" s="29">
        <f t="shared" si="2"/>
        <v>1470.5882352941176</v>
      </c>
      <c r="V20" s="30">
        <f t="shared" si="3"/>
        <v>80000</v>
      </c>
      <c r="X20" s="19">
        <f t="shared" si="10"/>
        <v>6.55</v>
      </c>
      <c r="Y20" s="19">
        <f t="shared" si="11"/>
        <v>0.23529411764705882</v>
      </c>
      <c r="Z20" s="19">
        <f t="shared" si="12"/>
        <v>0.6470588235294118</v>
      </c>
      <c r="AA20" s="19">
        <f t="shared" si="13"/>
        <v>0.70588235294117652</v>
      </c>
      <c r="AB20" s="115">
        <f t="shared" si="14"/>
        <v>4.4676470588235286</v>
      </c>
      <c r="AC20" s="115">
        <f t="shared" si="4"/>
        <v>3.2749999999999999</v>
      </c>
      <c r="AD20" s="115">
        <f t="shared" si="5"/>
        <v>4.3926470588235293</v>
      </c>
      <c r="AE20" s="117">
        <f t="shared" si="6"/>
        <v>-2.3397058823529409</v>
      </c>
      <c r="AF20" s="117">
        <f t="shared" si="7"/>
        <v>7.4999999999999734E-2</v>
      </c>
      <c r="AN20" s="21"/>
    </row>
    <row r="21" spans="2:40" x14ac:dyDescent="0.45">
      <c r="B21" s="81" t="s">
        <v>64</v>
      </c>
      <c r="C21" s="82" t="s">
        <v>52</v>
      </c>
      <c r="D21" s="6" t="s">
        <v>53</v>
      </c>
      <c r="E21" s="82" t="s">
        <v>24</v>
      </c>
      <c r="F21" s="8">
        <v>25000</v>
      </c>
      <c r="G21" s="9">
        <v>6.85</v>
      </c>
      <c r="H21" s="8">
        <v>171250</v>
      </c>
      <c r="I21" s="6" t="s">
        <v>108</v>
      </c>
      <c r="J21" s="6" t="s">
        <v>50</v>
      </c>
      <c r="K21" s="19">
        <f t="shared" si="0"/>
        <v>6.85</v>
      </c>
      <c r="L21" s="33">
        <v>3.2</v>
      </c>
      <c r="M21" s="19">
        <f>_xlfn.IFNA(VLOOKUP(I21,Sheet1!D:E,2,FALSE),0)</f>
        <v>4</v>
      </c>
      <c r="N21" s="19">
        <f>_xlfn.IFNA(VLOOKUP(D21,Sheet1!G:H,2,FALSE),0)</f>
        <v>11</v>
      </c>
      <c r="O21" s="19">
        <f>_xlfn.IFNA(VLOOKUP(D21,Sheet1!K:L,2,FALSE),0)</f>
        <v>12</v>
      </c>
      <c r="P21" s="34">
        <v>17</v>
      </c>
      <c r="Q21" s="19">
        <f t="shared" si="1"/>
        <v>81.049999999999983</v>
      </c>
      <c r="S21" s="25"/>
      <c r="T21" s="32">
        <f t="shared" si="9"/>
        <v>5.6147058823529408</v>
      </c>
      <c r="U21" s="29">
        <f t="shared" si="2"/>
        <v>1470.5882352941176</v>
      </c>
      <c r="V21" s="30">
        <f t="shared" si="3"/>
        <v>80000</v>
      </c>
      <c r="X21" s="19">
        <f t="shared" si="10"/>
        <v>6.55</v>
      </c>
      <c r="Y21" s="19">
        <f t="shared" si="11"/>
        <v>0.23529411764705882</v>
      </c>
      <c r="Z21" s="19">
        <f t="shared" si="12"/>
        <v>0.6470588235294118</v>
      </c>
      <c r="AA21" s="19">
        <f t="shared" si="13"/>
        <v>0.70588235294117652</v>
      </c>
      <c r="AB21" s="115">
        <f t="shared" si="14"/>
        <v>4.4676470588235286</v>
      </c>
      <c r="AC21" s="115">
        <f t="shared" si="4"/>
        <v>3.2749999999999999</v>
      </c>
      <c r="AD21" s="115">
        <f t="shared" si="5"/>
        <v>4.3926470588235293</v>
      </c>
      <c r="AE21" s="117">
        <f t="shared" si="6"/>
        <v>-2.3397058823529409</v>
      </c>
      <c r="AF21" s="117">
        <f t="shared" si="7"/>
        <v>7.4999999999999734E-2</v>
      </c>
      <c r="AN21" s="21"/>
    </row>
    <row r="22" spans="2:40" x14ac:dyDescent="0.45">
      <c r="B22" s="81" t="s">
        <v>67</v>
      </c>
      <c r="C22" s="82" t="s">
        <v>52</v>
      </c>
      <c r="D22" s="6" t="s">
        <v>53</v>
      </c>
      <c r="E22" s="82" t="s">
        <v>24</v>
      </c>
      <c r="F22" s="8">
        <v>25000</v>
      </c>
      <c r="G22" s="9">
        <v>6.85</v>
      </c>
      <c r="H22" s="8">
        <v>171250</v>
      </c>
      <c r="I22" s="6" t="s">
        <v>108</v>
      </c>
      <c r="J22" s="6" t="s">
        <v>50</v>
      </c>
      <c r="K22" s="19">
        <f t="shared" si="0"/>
        <v>6.85</v>
      </c>
      <c r="L22" s="33">
        <v>3.2</v>
      </c>
      <c r="M22" s="19">
        <f>_xlfn.IFNA(VLOOKUP(I22,Sheet1!D:E,2,FALSE),0)</f>
        <v>4</v>
      </c>
      <c r="N22" s="19">
        <f>_xlfn.IFNA(VLOOKUP(D22,Sheet1!G:H,2,FALSE),0)</f>
        <v>11</v>
      </c>
      <c r="O22" s="19">
        <f>_xlfn.IFNA(VLOOKUP(D22,Sheet1!K:L,2,FALSE),0)</f>
        <v>12</v>
      </c>
      <c r="P22" s="34">
        <v>17</v>
      </c>
      <c r="Q22" s="19">
        <f t="shared" si="1"/>
        <v>81.049999999999983</v>
      </c>
      <c r="S22" s="25"/>
      <c r="T22" s="32">
        <f t="shared" si="9"/>
        <v>5.6147058823529408</v>
      </c>
      <c r="U22" s="29">
        <f t="shared" si="2"/>
        <v>1470.5882352941176</v>
      </c>
      <c r="V22" s="30">
        <f t="shared" si="3"/>
        <v>80000</v>
      </c>
      <c r="X22" s="19">
        <f t="shared" si="10"/>
        <v>6.55</v>
      </c>
      <c r="Y22" s="19">
        <f t="shared" si="11"/>
        <v>0.23529411764705882</v>
      </c>
      <c r="Z22" s="19">
        <f t="shared" si="12"/>
        <v>0.6470588235294118</v>
      </c>
      <c r="AA22" s="19">
        <f t="shared" si="13"/>
        <v>0.70588235294117652</v>
      </c>
      <c r="AB22" s="115">
        <f t="shared" si="14"/>
        <v>4.4676470588235286</v>
      </c>
      <c r="AC22" s="115">
        <f t="shared" si="4"/>
        <v>3.2749999999999999</v>
      </c>
      <c r="AD22" s="115">
        <f t="shared" si="5"/>
        <v>4.3926470588235293</v>
      </c>
      <c r="AE22" s="117">
        <f t="shared" si="6"/>
        <v>-2.3397058823529409</v>
      </c>
      <c r="AF22" s="117">
        <f t="shared" si="7"/>
        <v>7.4999999999999734E-2</v>
      </c>
      <c r="AN22" s="21"/>
    </row>
    <row r="23" spans="2:40" x14ac:dyDescent="0.45">
      <c r="B23" s="81" t="s">
        <v>70</v>
      </c>
      <c r="C23" s="82" t="s">
        <v>71</v>
      </c>
      <c r="D23" s="6" t="s">
        <v>41</v>
      </c>
      <c r="E23" s="82" t="s">
        <v>24</v>
      </c>
      <c r="F23" s="8">
        <v>24999</v>
      </c>
      <c r="G23" s="9">
        <v>9.5</v>
      </c>
      <c r="H23" s="8">
        <v>237490.5</v>
      </c>
      <c r="I23" s="6" t="s">
        <v>108</v>
      </c>
      <c r="J23" s="6" t="s">
        <v>50</v>
      </c>
      <c r="K23" s="19">
        <f t="shared" si="0"/>
        <v>9.5</v>
      </c>
      <c r="L23" s="33">
        <v>7.7</v>
      </c>
      <c r="M23" s="19">
        <f>_xlfn.IFNA(VLOOKUP(I23,Sheet1!D:E,2,FALSE),0)</f>
        <v>4</v>
      </c>
      <c r="N23" s="19">
        <f>_xlfn.IFNA(VLOOKUP(D23,Sheet1!G:H,2,FALSE),0)</f>
        <v>6</v>
      </c>
      <c r="O23" s="19">
        <v>0.5</v>
      </c>
      <c r="P23" s="34">
        <v>14</v>
      </c>
      <c r="Q23" s="19">
        <f t="shared" si="1"/>
        <v>27.699999999999996</v>
      </c>
      <c r="S23" s="25"/>
      <c r="T23" s="32">
        <f t="shared" si="9"/>
        <v>6.8214285714285712</v>
      </c>
      <c r="U23" s="29">
        <f t="shared" si="2"/>
        <v>1785.6428571428571</v>
      </c>
      <c r="V23" s="30">
        <f t="shared" si="3"/>
        <v>192492.30000000002</v>
      </c>
      <c r="X23" s="19">
        <f t="shared" si="10"/>
        <v>9.1999999999999993</v>
      </c>
      <c r="Y23" s="19">
        <f t="shared" si="11"/>
        <v>0.2857142857142857</v>
      </c>
      <c r="Z23" s="19">
        <f t="shared" si="12"/>
        <v>0.42857142857142855</v>
      </c>
      <c r="AA23" s="19">
        <f t="shared" si="13"/>
        <v>3.5714285714285712E-2</v>
      </c>
      <c r="AB23" s="115">
        <f t="shared" si="14"/>
        <v>1.6785714285714279</v>
      </c>
      <c r="AC23" s="115">
        <f t="shared" si="4"/>
        <v>7.0839999999999996</v>
      </c>
      <c r="AD23" s="115">
        <f t="shared" si="5"/>
        <v>2.294571428571428</v>
      </c>
      <c r="AE23" s="117">
        <f t="shared" si="6"/>
        <v>0.26257142857142846</v>
      </c>
      <c r="AF23" s="117">
        <f t="shared" si="7"/>
        <v>-0.61600000000000055</v>
      </c>
      <c r="AN23" s="21"/>
    </row>
    <row r="24" spans="2:40" x14ac:dyDescent="0.45">
      <c r="B24" s="81" t="s">
        <v>76</v>
      </c>
      <c r="C24" s="82" t="s">
        <v>71</v>
      </c>
      <c r="D24" s="6" t="s">
        <v>75</v>
      </c>
      <c r="E24" s="82" t="s">
        <v>24</v>
      </c>
      <c r="F24" s="8">
        <v>17000</v>
      </c>
      <c r="G24" s="9">
        <v>11.6</v>
      </c>
      <c r="H24" s="8">
        <v>197200</v>
      </c>
      <c r="I24" s="6" t="s">
        <v>96</v>
      </c>
      <c r="J24" s="6" t="s">
        <v>50</v>
      </c>
      <c r="K24" s="19">
        <f t="shared" si="0"/>
        <v>11.6</v>
      </c>
      <c r="L24" s="33">
        <v>10.5</v>
      </c>
      <c r="M24" s="19">
        <f>_xlfn.IFNA(VLOOKUP(I24,Sheet1!D:E,2,FALSE),0)</f>
        <v>2</v>
      </c>
      <c r="N24" s="19">
        <f>_xlfn.IFNA(VLOOKUP(D24,Sheet1!G:H,2,FALSE),0)</f>
        <v>11</v>
      </c>
      <c r="O24" s="19">
        <f>_xlfn.IFNA(VLOOKUP(D24,Sheet1!K:L,2,FALSE),0)</f>
        <v>10</v>
      </c>
      <c r="P24" s="34">
        <v>18</v>
      </c>
      <c r="Q24" s="19">
        <f t="shared" si="1"/>
        <v>38.799999999999997</v>
      </c>
      <c r="S24" s="25"/>
      <c r="T24" s="32">
        <f t="shared" si="9"/>
        <v>10.433333333333334</v>
      </c>
      <c r="U24" s="29">
        <f t="shared" si="2"/>
        <v>944.44444444444446</v>
      </c>
      <c r="V24" s="30">
        <f t="shared" si="3"/>
        <v>178500</v>
      </c>
      <c r="X24" s="19">
        <f t="shared" si="10"/>
        <v>11.299999999999999</v>
      </c>
      <c r="Y24" s="19">
        <f t="shared" si="11"/>
        <v>0.1111111111111111</v>
      </c>
      <c r="Z24" s="19">
        <f t="shared" si="12"/>
        <v>0.61111111111111116</v>
      </c>
      <c r="AA24" s="19">
        <f t="shared" si="13"/>
        <v>0.55555555555555558</v>
      </c>
      <c r="AB24" s="115">
        <f t="shared" si="14"/>
        <v>1.8555555555555545</v>
      </c>
      <c r="AC24" s="115">
        <f t="shared" si="4"/>
        <v>9.3789999999999978</v>
      </c>
      <c r="AD24" s="115">
        <f t="shared" si="5"/>
        <v>2.9765555555555565</v>
      </c>
      <c r="AE24" s="117">
        <f t="shared" si="6"/>
        <v>-1.0543333333333358</v>
      </c>
      <c r="AF24" s="117">
        <f t="shared" si="7"/>
        <v>-1.1210000000000022</v>
      </c>
      <c r="AN24" s="21"/>
    </row>
    <row r="25" spans="2:40" x14ac:dyDescent="0.45">
      <c r="B25" s="81" t="s">
        <v>77</v>
      </c>
      <c r="C25" s="82" t="s">
        <v>71</v>
      </c>
      <c r="D25" s="6" t="s">
        <v>75</v>
      </c>
      <c r="E25" s="82" t="s">
        <v>24</v>
      </c>
      <c r="F25" s="8">
        <v>17000</v>
      </c>
      <c r="G25" s="9">
        <v>11.6</v>
      </c>
      <c r="H25" s="8">
        <v>197200</v>
      </c>
      <c r="I25" s="6" t="s">
        <v>96</v>
      </c>
      <c r="J25" s="6" t="s">
        <v>50</v>
      </c>
      <c r="K25" s="19">
        <f t="shared" si="0"/>
        <v>11.6</v>
      </c>
      <c r="L25" s="33">
        <v>10.5</v>
      </c>
      <c r="M25" s="19">
        <f>_xlfn.IFNA(VLOOKUP(I25,Sheet1!D:E,2,FALSE),0)</f>
        <v>2</v>
      </c>
      <c r="N25" s="19">
        <f>_xlfn.IFNA(VLOOKUP(D25,Sheet1!G:H,2,FALSE),0)</f>
        <v>11</v>
      </c>
      <c r="O25" s="19">
        <f>_xlfn.IFNA(VLOOKUP(D25,Sheet1!K:L,2,FALSE),0)</f>
        <v>10</v>
      </c>
      <c r="P25" s="34">
        <v>18</v>
      </c>
      <c r="Q25" s="19">
        <f t="shared" si="1"/>
        <v>38.799999999999997</v>
      </c>
      <c r="S25" s="25"/>
      <c r="T25" s="32">
        <f t="shared" si="9"/>
        <v>10.433333333333334</v>
      </c>
      <c r="U25" s="29">
        <f t="shared" si="2"/>
        <v>944.44444444444446</v>
      </c>
      <c r="V25" s="30">
        <f t="shared" si="3"/>
        <v>178500</v>
      </c>
      <c r="X25" s="19">
        <f t="shared" si="10"/>
        <v>11.299999999999999</v>
      </c>
      <c r="Y25" s="19">
        <f t="shared" si="11"/>
        <v>0.1111111111111111</v>
      </c>
      <c r="Z25" s="19">
        <f t="shared" si="12"/>
        <v>0.61111111111111116</v>
      </c>
      <c r="AA25" s="19">
        <f t="shared" si="13"/>
        <v>0.55555555555555558</v>
      </c>
      <c r="AB25" s="115">
        <f t="shared" si="14"/>
        <v>1.8555555555555545</v>
      </c>
      <c r="AC25" s="115">
        <f t="shared" si="4"/>
        <v>9.3789999999999978</v>
      </c>
      <c r="AD25" s="115">
        <f t="shared" si="5"/>
        <v>2.9765555555555565</v>
      </c>
      <c r="AE25" s="117">
        <f t="shared" si="6"/>
        <v>-1.0543333333333358</v>
      </c>
      <c r="AF25" s="117">
        <f t="shared" si="7"/>
        <v>-1.1210000000000022</v>
      </c>
      <c r="AN25" s="21"/>
    </row>
    <row r="26" spans="2:40" x14ac:dyDescent="0.45">
      <c r="B26" s="81" t="s">
        <v>78</v>
      </c>
      <c r="C26" s="82" t="s">
        <v>52</v>
      </c>
      <c r="D26" s="6" t="s">
        <v>41</v>
      </c>
      <c r="E26" s="82" t="s">
        <v>24</v>
      </c>
      <c r="F26" s="8">
        <v>25000</v>
      </c>
      <c r="G26" s="9">
        <v>9.8000000000000007</v>
      </c>
      <c r="H26" s="8">
        <v>245000.00000000003</v>
      </c>
      <c r="I26" s="6" t="s">
        <v>108</v>
      </c>
      <c r="J26" s="6" t="s">
        <v>50</v>
      </c>
      <c r="K26" s="19">
        <f t="shared" si="0"/>
        <v>9.8000000000000007</v>
      </c>
      <c r="L26" s="33">
        <v>7.7</v>
      </c>
      <c r="M26" s="19">
        <f>_xlfn.IFNA(VLOOKUP(I26,Sheet1!D:E,2,FALSE),0)</f>
        <v>4</v>
      </c>
      <c r="N26" s="19">
        <f>_xlfn.IFNA(VLOOKUP(D26,Sheet1!G:H,2,FALSE),0)</f>
        <v>6</v>
      </c>
      <c r="O26" s="19">
        <v>0.5</v>
      </c>
      <c r="P26" s="34">
        <v>14</v>
      </c>
      <c r="Q26" s="19">
        <f t="shared" si="1"/>
        <v>31.900000000000006</v>
      </c>
      <c r="S26" s="25"/>
      <c r="T26" s="32">
        <f t="shared" si="9"/>
        <v>7.1214285714285719</v>
      </c>
      <c r="U26" s="29">
        <f t="shared" si="2"/>
        <v>1785.7142857142858</v>
      </c>
      <c r="V26" s="30">
        <f t="shared" si="3"/>
        <v>192500</v>
      </c>
      <c r="X26" s="19">
        <f t="shared" si="10"/>
        <v>9.5</v>
      </c>
      <c r="Y26" s="19">
        <f t="shared" si="11"/>
        <v>0.2857142857142857</v>
      </c>
      <c r="Z26" s="19">
        <f t="shared" si="12"/>
        <v>0.42857142857142855</v>
      </c>
      <c r="AA26" s="19">
        <f t="shared" si="13"/>
        <v>3.5714285714285712E-2</v>
      </c>
      <c r="AB26" s="115">
        <f t="shared" si="14"/>
        <v>1.9785714285714286</v>
      </c>
      <c r="AC26" s="115">
        <f t="shared" si="4"/>
        <v>7.3150000000000004</v>
      </c>
      <c r="AD26" s="115">
        <f t="shared" si="5"/>
        <v>2.363571428571428</v>
      </c>
      <c r="AE26" s="117">
        <f t="shared" si="6"/>
        <v>0.19357142857142851</v>
      </c>
      <c r="AF26" s="117">
        <f t="shared" si="7"/>
        <v>-0.38499999999999979</v>
      </c>
      <c r="AN26" s="21"/>
    </row>
    <row r="27" spans="2:40" x14ac:dyDescent="0.45">
      <c r="B27" s="81" t="s">
        <v>82</v>
      </c>
      <c r="C27" s="82" t="s">
        <v>83</v>
      </c>
      <c r="D27" s="6" t="s">
        <v>41</v>
      </c>
      <c r="E27" s="82" t="s">
        <v>24</v>
      </c>
      <c r="F27" s="8">
        <v>24000</v>
      </c>
      <c r="G27" s="9">
        <v>9.65</v>
      </c>
      <c r="H27" s="8">
        <v>231600</v>
      </c>
      <c r="I27" s="6" t="s">
        <v>108</v>
      </c>
      <c r="J27" s="6" t="s">
        <v>50</v>
      </c>
      <c r="K27" s="19">
        <f t="shared" si="0"/>
        <v>9.65</v>
      </c>
      <c r="L27" s="33">
        <v>7.7</v>
      </c>
      <c r="M27" s="19">
        <f>_xlfn.IFNA(VLOOKUP(I27,Sheet1!D:E,2,FALSE),0)</f>
        <v>4</v>
      </c>
      <c r="N27" s="19">
        <f>_xlfn.IFNA(VLOOKUP(D27,Sheet1!G:H,2,FALSE),0)</f>
        <v>6</v>
      </c>
      <c r="O27" s="19">
        <v>0.5</v>
      </c>
      <c r="P27" s="34">
        <v>14</v>
      </c>
      <c r="Q27" s="19">
        <f t="shared" si="1"/>
        <v>29.800000000000004</v>
      </c>
      <c r="S27" s="25"/>
      <c r="T27" s="32">
        <f t="shared" si="9"/>
        <v>6.9714285714285715</v>
      </c>
      <c r="U27" s="29">
        <f t="shared" si="2"/>
        <v>1714.2857142857142</v>
      </c>
      <c r="V27" s="30">
        <f t="shared" si="3"/>
        <v>184800</v>
      </c>
      <c r="X27" s="19">
        <f t="shared" si="10"/>
        <v>9.35</v>
      </c>
      <c r="Y27" s="19">
        <f t="shared" si="11"/>
        <v>0.2857142857142857</v>
      </c>
      <c r="Z27" s="19">
        <f t="shared" si="12"/>
        <v>0.42857142857142855</v>
      </c>
      <c r="AA27" s="19">
        <f t="shared" si="13"/>
        <v>3.5714285714285712E-2</v>
      </c>
      <c r="AB27" s="115">
        <f t="shared" si="14"/>
        <v>1.8285714285714283</v>
      </c>
      <c r="AC27" s="115">
        <f t="shared" si="4"/>
        <v>7.1994999999999996</v>
      </c>
      <c r="AD27" s="115">
        <f t="shared" si="5"/>
        <v>2.3290714285714285</v>
      </c>
      <c r="AE27" s="117">
        <f t="shared" si="6"/>
        <v>0.22807142857142804</v>
      </c>
      <c r="AF27" s="117">
        <f t="shared" si="7"/>
        <v>-0.50050000000000061</v>
      </c>
      <c r="AN27" s="21"/>
    </row>
    <row r="28" spans="2:40" x14ac:dyDescent="0.45">
      <c r="B28" s="81" t="s">
        <v>88</v>
      </c>
      <c r="C28" s="82" t="s">
        <v>40</v>
      </c>
      <c r="D28" s="6" t="s">
        <v>41</v>
      </c>
      <c r="E28" s="82" t="s">
        <v>24</v>
      </c>
      <c r="F28" s="8">
        <v>16000</v>
      </c>
      <c r="G28" s="9">
        <v>10.072463768115943</v>
      </c>
      <c r="H28" s="8">
        <v>158857.14285714287</v>
      </c>
      <c r="I28" s="6" t="s">
        <v>96</v>
      </c>
      <c r="J28" s="6" t="s">
        <v>11</v>
      </c>
      <c r="K28" s="19">
        <f t="shared" si="0"/>
        <v>9.7724637681159425</v>
      </c>
      <c r="L28" s="33">
        <v>7.7</v>
      </c>
      <c r="M28" s="19">
        <f>_xlfn.IFNA(VLOOKUP(I28,Sheet1!D:E,2,FALSE),0)</f>
        <v>2</v>
      </c>
      <c r="N28" s="19">
        <f>_xlfn.IFNA(VLOOKUP(D28,Sheet1!G:H,2,FALSE),0)</f>
        <v>6</v>
      </c>
      <c r="O28" s="19">
        <v>0.5</v>
      </c>
      <c r="P28" s="34">
        <v>10</v>
      </c>
      <c r="Q28" s="19">
        <f t="shared" si="1"/>
        <v>25.224637681159422</v>
      </c>
      <c r="S28" s="25"/>
      <c r="T28" s="32">
        <f t="shared" si="9"/>
        <v>6.2224637681159427</v>
      </c>
      <c r="U28" s="29">
        <f t="shared" si="2"/>
        <v>1600</v>
      </c>
      <c r="V28" s="30">
        <f t="shared" si="3"/>
        <v>123200</v>
      </c>
      <c r="X28" s="19">
        <f t="shared" si="10"/>
        <v>9.7724637681159425</v>
      </c>
      <c r="Y28" s="19">
        <f t="shared" si="11"/>
        <v>0.14285714285714285</v>
      </c>
      <c r="Z28" s="19">
        <f t="shared" si="12"/>
        <v>0.42857142857142855</v>
      </c>
      <c r="AA28" s="19">
        <f t="shared" si="13"/>
        <v>3.5714285714285712E-2</v>
      </c>
      <c r="AB28" s="115">
        <f t="shared" si="14"/>
        <v>2.3938923395445135</v>
      </c>
      <c r="AC28" s="115">
        <f t="shared" si="4"/>
        <v>7.524797101449276</v>
      </c>
      <c r="AD28" s="115">
        <f t="shared" si="5"/>
        <v>2.5690952380952377</v>
      </c>
      <c r="AE28" s="117">
        <f t="shared" si="6"/>
        <v>1.3023333333333333</v>
      </c>
      <c r="AF28" s="117">
        <f t="shared" si="7"/>
        <v>-0.17520289855072413</v>
      </c>
      <c r="AN28" s="21"/>
    </row>
    <row r="29" spans="2:40" x14ac:dyDescent="0.45">
      <c r="B29" s="81" t="s">
        <v>89</v>
      </c>
      <c r="C29" s="82" t="s">
        <v>40</v>
      </c>
      <c r="D29" s="6" t="s">
        <v>41</v>
      </c>
      <c r="E29" s="82" t="s">
        <v>24</v>
      </c>
      <c r="F29" s="8">
        <v>16000</v>
      </c>
      <c r="G29" s="9">
        <v>10.144927536231885</v>
      </c>
      <c r="H29" s="8">
        <v>160000</v>
      </c>
      <c r="I29" s="6" t="s">
        <v>96</v>
      </c>
      <c r="J29" s="6" t="s">
        <v>11</v>
      </c>
      <c r="K29" s="19">
        <f t="shared" si="0"/>
        <v>9.844927536231884</v>
      </c>
      <c r="L29" s="33">
        <v>7.7</v>
      </c>
      <c r="M29" s="19">
        <f>_xlfn.IFNA(VLOOKUP(I29,Sheet1!D:E,2,FALSE),0)</f>
        <v>2</v>
      </c>
      <c r="N29" s="19">
        <f>_xlfn.IFNA(VLOOKUP(D29,Sheet1!G:H,2,FALSE),0)</f>
        <v>6</v>
      </c>
      <c r="O29" s="19">
        <v>0.5</v>
      </c>
      <c r="P29" s="34">
        <v>10</v>
      </c>
      <c r="Q29" s="19">
        <f t="shared" ref="Q29:Q34" si="17">IF(P29&gt;0,(K29-L29)*P29+N29+O29-M29,0)</f>
        <v>25.949275362318836</v>
      </c>
      <c r="S29" s="25"/>
      <c r="T29" s="32">
        <f t="shared" si="9"/>
        <v>6.2949275362318842</v>
      </c>
      <c r="U29" s="29">
        <f t="shared" ref="U29:U34" si="18">IF(P29&gt;0,(F29/P29),0)</f>
        <v>1600</v>
      </c>
      <c r="V29" s="30">
        <f t="shared" ref="V29:V34" si="19">(L29*F29)</f>
        <v>123200</v>
      </c>
      <c r="X29" s="19">
        <f t="shared" si="10"/>
        <v>9.844927536231884</v>
      </c>
      <c r="Y29" s="19">
        <f t="shared" si="11"/>
        <v>0.14285714285714285</v>
      </c>
      <c r="Z29" s="19">
        <f t="shared" si="12"/>
        <v>0.42857142857142855</v>
      </c>
      <c r="AA29" s="19">
        <f t="shared" si="13"/>
        <v>3.5714285714285712E-2</v>
      </c>
      <c r="AB29" s="115">
        <f t="shared" si="14"/>
        <v>2.466356107660455</v>
      </c>
      <c r="AC29" s="115">
        <f t="shared" si="4"/>
        <v>7.5805942028985509</v>
      </c>
      <c r="AD29" s="115">
        <f t="shared" si="5"/>
        <v>2.5857619047619043</v>
      </c>
      <c r="AE29" s="117">
        <f t="shared" si="6"/>
        <v>1.2856666666666667</v>
      </c>
      <c r="AF29" s="117">
        <f t="shared" si="7"/>
        <v>-0.11940579710144927</v>
      </c>
      <c r="AN29" s="21"/>
    </row>
    <row r="30" spans="2:40" x14ac:dyDescent="0.45">
      <c r="B30" s="81" t="s">
        <v>90</v>
      </c>
      <c r="C30" s="82" t="s">
        <v>83</v>
      </c>
      <c r="D30" s="6" t="s">
        <v>41</v>
      </c>
      <c r="E30" s="82" t="s">
        <v>24</v>
      </c>
      <c r="F30" s="8">
        <v>24000</v>
      </c>
      <c r="G30" s="9">
        <v>9.75</v>
      </c>
      <c r="H30" s="8">
        <v>234000</v>
      </c>
      <c r="I30" s="6" t="s">
        <v>108</v>
      </c>
      <c r="J30" s="6" t="s">
        <v>50</v>
      </c>
      <c r="K30" s="19">
        <f t="shared" si="0"/>
        <v>9.75</v>
      </c>
      <c r="L30" s="33">
        <v>7.7</v>
      </c>
      <c r="M30" s="19">
        <f>_xlfn.IFNA(VLOOKUP(I30,Sheet1!D:E,2,FALSE),0)</f>
        <v>4</v>
      </c>
      <c r="N30" s="19">
        <f>_xlfn.IFNA(VLOOKUP(D30,Sheet1!G:H,2,FALSE),0)</f>
        <v>6</v>
      </c>
      <c r="O30" s="19">
        <v>0.5</v>
      </c>
      <c r="P30" s="34">
        <v>14</v>
      </c>
      <c r="Q30" s="19">
        <f t="shared" si="17"/>
        <v>31.199999999999996</v>
      </c>
      <c r="S30" s="25"/>
      <c r="T30" s="32">
        <f t="shared" si="9"/>
        <v>7.0714285714285712</v>
      </c>
      <c r="U30" s="29">
        <f t="shared" si="18"/>
        <v>1714.2857142857142</v>
      </c>
      <c r="V30" s="30">
        <f t="shared" si="19"/>
        <v>184800</v>
      </c>
      <c r="X30" s="19">
        <f t="shared" si="10"/>
        <v>9.4499999999999993</v>
      </c>
      <c r="Y30" s="19">
        <f t="shared" si="11"/>
        <v>0.2857142857142857</v>
      </c>
      <c r="Z30" s="19">
        <f t="shared" si="12"/>
        <v>0.42857142857142855</v>
      </c>
      <c r="AA30" s="19">
        <f t="shared" si="13"/>
        <v>3.5714285714285712E-2</v>
      </c>
      <c r="AB30" s="115">
        <f t="shared" si="14"/>
        <v>1.9285714285714279</v>
      </c>
      <c r="AC30" s="115">
        <f t="shared" si="4"/>
        <v>7.2764999999999995</v>
      </c>
      <c r="AD30" s="115">
        <f t="shared" si="5"/>
        <v>2.3520714285714281</v>
      </c>
      <c r="AE30" s="117">
        <f t="shared" si="6"/>
        <v>0.20507142857142835</v>
      </c>
      <c r="AF30" s="117">
        <f t="shared" si="7"/>
        <v>-0.42350000000000065</v>
      </c>
      <c r="AN30" s="21"/>
    </row>
    <row r="31" spans="2:40" x14ac:dyDescent="0.45">
      <c r="B31" s="81" t="s">
        <v>181</v>
      </c>
      <c r="C31" s="82" t="s">
        <v>182</v>
      </c>
      <c r="D31" s="6" t="s">
        <v>75</v>
      </c>
      <c r="E31" s="82" t="s">
        <v>24</v>
      </c>
      <c r="F31" s="8">
        <v>8100</v>
      </c>
      <c r="G31" s="9">
        <v>10.375</v>
      </c>
      <c r="H31" s="8">
        <v>83800</v>
      </c>
      <c r="I31" s="6" t="s">
        <v>185</v>
      </c>
      <c r="J31" s="6" t="s">
        <v>50</v>
      </c>
      <c r="K31" s="19">
        <f t="shared" si="0"/>
        <v>10.375</v>
      </c>
      <c r="L31" s="94">
        <v>10.5</v>
      </c>
      <c r="M31" s="19">
        <f>_xlfn.IFNA(VLOOKUP(I31,Sheet1!D:E,2,FALSE),0)</f>
        <v>7</v>
      </c>
      <c r="N31" s="19">
        <f>_xlfn.IFNA(VLOOKUP(D31,Sheet1!G:H,2,FALSE),0)</f>
        <v>11</v>
      </c>
      <c r="O31" s="19">
        <f>_xlfn.IFNA(VLOOKUP(D31,Sheet1!K:L,2,FALSE),0)</f>
        <v>10</v>
      </c>
      <c r="P31" s="95">
        <v>18</v>
      </c>
      <c r="Q31" s="19">
        <f t="shared" si="17"/>
        <v>11.75</v>
      </c>
      <c r="S31" s="96"/>
      <c r="T31" s="32">
        <f t="shared" si="9"/>
        <v>8.9305555555555554</v>
      </c>
      <c r="U31" s="29">
        <f t="shared" si="18"/>
        <v>450</v>
      </c>
      <c r="V31" s="30">
        <f t="shared" si="19"/>
        <v>85050</v>
      </c>
      <c r="X31" s="19">
        <f t="shared" si="10"/>
        <v>10.074999999999999</v>
      </c>
      <c r="Y31" s="19">
        <f t="shared" si="11"/>
        <v>0.3888888888888889</v>
      </c>
      <c r="Z31" s="19">
        <f t="shared" si="12"/>
        <v>0.61111111111111116</v>
      </c>
      <c r="AA31" s="19">
        <f t="shared" si="13"/>
        <v>0.55555555555555558</v>
      </c>
      <c r="AB31" s="115">
        <f t="shared" si="14"/>
        <v>0.35277777777777719</v>
      </c>
      <c r="AC31" s="115">
        <f t="shared" si="4"/>
        <v>8.3622499999999995</v>
      </c>
      <c r="AD31" s="115">
        <f t="shared" si="5"/>
        <v>2.4905277777777775</v>
      </c>
      <c r="AE31" s="117">
        <f t="shared" si="6"/>
        <v>-0.56830555555555584</v>
      </c>
      <c r="AF31" s="117">
        <f t="shared" si="7"/>
        <v>-2.1377500000000005</v>
      </c>
      <c r="AN31" s="21"/>
    </row>
    <row r="32" spans="2:40" x14ac:dyDescent="0.45">
      <c r="B32" s="81" t="s">
        <v>187</v>
      </c>
      <c r="C32" s="82" t="s">
        <v>83</v>
      </c>
      <c r="D32" s="6" t="s">
        <v>41</v>
      </c>
      <c r="E32" s="82" t="s">
        <v>24</v>
      </c>
      <c r="F32" s="8">
        <v>25000</v>
      </c>
      <c r="G32" s="9">
        <v>10</v>
      </c>
      <c r="H32" s="8">
        <v>250000</v>
      </c>
      <c r="I32" s="6" t="s">
        <v>108</v>
      </c>
      <c r="J32" s="6" t="s">
        <v>50</v>
      </c>
      <c r="K32" s="19">
        <f t="shared" si="0"/>
        <v>10</v>
      </c>
      <c r="L32" s="33">
        <v>7.7</v>
      </c>
      <c r="M32" s="19">
        <f>_xlfn.IFNA(VLOOKUP(I32,Sheet1!D:E,2,FALSE),0)</f>
        <v>4</v>
      </c>
      <c r="N32" s="19">
        <f>_xlfn.IFNA(VLOOKUP(D32,Sheet1!G:H,2,FALSE),0)</f>
        <v>6</v>
      </c>
      <c r="O32" s="19">
        <v>0.5</v>
      </c>
      <c r="P32" s="34">
        <v>14</v>
      </c>
      <c r="Q32" s="19">
        <f t="shared" si="17"/>
        <v>34.699999999999996</v>
      </c>
      <c r="S32" s="96"/>
      <c r="T32" s="32">
        <f t="shared" ref="T32:T34" si="20">IF(P32&gt;0,(K32)-((40+M32-O32-N32)/P32),0)</f>
        <v>7.3214285714285712</v>
      </c>
      <c r="U32" s="29">
        <f t="shared" si="18"/>
        <v>1785.7142857142858</v>
      </c>
      <c r="V32" s="30">
        <f t="shared" si="19"/>
        <v>192500</v>
      </c>
      <c r="X32" s="19">
        <f t="shared" si="10"/>
        <v>9.6999999999999993</v>
      </c>
      <c r="Y32" s="19">
        <f t="shared" si="11"/>
        <v>0.2857142857142857</v>
      </c>
      <c r="Z32" s="19">
        <f t="shared" si="12"/>
        <v>0.42857142857142855</v>
      </c>
      <c r="AA32" s="19">
        <f t="shared" si="13"/>
        <v>3.5714285714285712E-2</v>
      </c>
      <c r="AB32" s="115">
        <f t="shared" si="14"/>
        <v>2.1785714285714275</v>
      </c>
      <c r="AC32" s="115">
        <f t="shared" si="4"/>
        <v>7.4689999999999994</v>
      </c>
      <c r="AD32" s="115">
        <f t="shared" si="5"/>
        <v>2.4095714285714283</v>
      </c>
      <c r="AE32" s="117">
        <f t="shared" si="6"/>
        <v>0.14757142857142824</v>
      </c>
      <c r="AF32" s="117">
        <f t="shared" si="7"/>
        <v>-0.23100000000000076</v>
      </c>
      <c r="AN32" s="21"/>
    </row>
    <row r="33" spans="1:40" x14ac:dyDescent="0.45">
      <c r="B33" s="81" t="s">
        <v>193</v>
      </c>
      <c r="C33" s="82" t="s">
        <v>52</v>
      </c>
      <c r="D33" s="6" t="s">
        <v>53</v>
      </c>
      <c r="E33" s="82" t="s">
        <v>24</v>
      </c>
      <c r="F33" s="8">
        <v>25000</v>
      </c>
      <c r="G33" s="9">
        <v>7.05</v>
      </c>
      <c r="H33" s="8">
        <v>176250</v>
      </c>
      <c r="I33" s="6" t="s">
        <v>108</v>
      </c>
      <c r="J33" s="6" t="s">
        <v>50</v>
      </c>
      <c r="K33" s="19">
        <f t="shared" ref="K33:K34" si="21">IF(J33="CIF",G33-0.3,G33)</f>
        <v>7.05</v>
      </c>
      <c r="L33" s="33">
        <v>3.2</v>
      </c>
      <c r="M33" s="19">
        <f>_xlfn.IFNA(VLOOKUP(I33,Sheet1!D:E,2,FALSE),0)</f>
        <v>4</v>
      </c>
      <c r="N33" s="19">
        <f>_xlfn.IFNA(VLOOKUP(D33,Sheet1!G:H,2,FALSE),0)</f>
        <v>11</v>
      </c>
      <c r="O33" s="19">
        <f>_xlfn.IFNA(VLOOKUP(D33,Sheet1!K:L,2,FALSE),0)</f>
        <v>12</v>
      </c>
      <c r="P33" s="34">
        <v>17</v>
      </c>
      <c r="Q33" s="19">
        <f t="shared" si="17"/>
        <v>84.449999999999989</v>
      </c>
      <c r="S33" s="25"/>
      <c r="T33" s="32">
        <f t="shared" si="20"/>
        <v>5.8147058823529409</v>
      </c>
      <c r="U33" s="29">
        <f t="shared" si="18"/>
        <v>1470.5882352941176</v>
      </c>
      <c r="V33" s="30">
        <f t="shared" si="19"/>
        <v>80000</v>
      </c>
      <c r="X33" s="19">
        <f t="shared" si="10"/>
        <v>6.75</v>
      </c>
      <c r="Y33" s="19">
        <f t="shared" si="11"/>
        <v>0.23529411764705882</v>
      </c>
      <c r="Z33" s="19">
        <f t="shared" si="12"/>
        <v>0.6470588235294118</v>
      </c>
      <c r="AA33" s="19">
        <f t="shared" si="13"/>
        <v>0.70588235294117652</v>
      </c>
      <c r="AB33" s="115">
        <f t="shared" si="14"/>
        <v>4.6676470588235288</v>
      </c>
      <c r="AC33" s="115">
        <f t="shared" si="4"/>
        <v>3.375</v>
      </c>
      <c r="AD33" s="115">
        <f t="shared" si="5"/>
        <v>4.492647058823529</v>
      </c>
      <c r="AE33" s="117">
        <f t="shared" si="6"/>
        <v>-2.4397058823529409</v>
      </c>
      <c r="AF33" s="117">
        <f t="shared" si="7"/>
        <v>0.17499999999999982</v>
      </c>
      <c r="AN33" s="21"/>
    </row>
    <row r="34" spans="1:40" x14ac:dyDescent="0.45">
      <c r="B34" s="81" t="s">
        <v>194</v>
      </c>
      <c r="C34" s="82" t="s">
        <v>52</v>
      </c>
      <c r="D34" s="6" t="s">
        <v>53</v>
      </c>
      <c r="E34" s="82" t="s">
        <v>24</v>
      </c>
      <c r="F34" s="8">
        <v>25000</v>
      </c>
      <c r="G34" s="9">
        <v>7.05</v>
      </c>
      <c r="H34" s="8">
        <v>176250</v>
      </c>
      <c r="I34" s="6" t="s">
        <v>108</v>
      </c>
      <c r="J34" s="6" t="s">
        <v>50</v>
      </c>
      <c r="K34" s="19">
        <f t="shared" si="21"/>
        <v>7.05</v>
      </c>
      <c r="L34" s="33">
        <v>3.2</v>
      </c>
      <c r="M34" s="19">
        <f>_xlfn.IFNA(VLOOKUP(I34,Sheet1!D:E,2,FALSE),0)</f>
        <v>4</v>
      </c>
      <c r="N34" s="19">
        <f>_xlfn.IFNA(VLOOKUP(D34,Sheet1!G:H,2,FALSE),0)</f>
        <v>11</v>
      </c>
      <c r="O34" s="19">
        <f>_xlfn.IFNA(VLOOKUP(D34,Sheet1!K:L,2,FALSE),0)</f>
        <v>12</v>
      </c>
      <c r="P34" s="34">
        <v>17</v>
      </c>
      <c r="Q34" s="19">
        <f t="shared" si="17"/>
        <v>84.449999999999989</v>
      </c>
      <c r="S34" s="25"/>
      <c r="T34" s="32">
        <f t="shared" si="20"/>
        <v>5.8147058823529409</v>
      </c>
      <c r="U34" s="29">
        <f t="shared" si="18"/>
        <v>1470.5882352941176</v>
      </c>
      <c r="V34" s="30">
        <f t="shared" si="19"/>
        <v>80000</v>
      </c>
      <c r="X34" s="19">
        <f t="shared" si="10"/>
        <v>6.75</v>
      </c>
      <c r="Y34" s="19">
        <f t="shared" si="11"/>
        <v>0.23529411764705882</v>
      </c>
      <c r="Z34" s="19">
        <f t="shared" si="12"/>
        <v>0.6470588235294118</v>
      </c>
      <c r="AA34" s="19">
        <f t="shared" si="13"/>
        <v>0.70588235294117652</v>
      </c>
      <c r="AB34" s="115">
        <f t="shared" si="14"/>
        <v>4.6676470588235288</v>
      </c>
      <c r="AC34" s="115">
        <f t="shared" si="4"/>
        <v>3.375</v>
      </c>
      <c r="AD34" s="115">
        <f t="shared" si="5"/>
        <v>4.492647058823529</v>
      </c>
      <c r="AE34" s="117">
        <f t="shared" si="6"/>
        <v>-2.4397058823529409</v>
      </c>
      <c r="AF34" s="117">
        <f t="shared" si="7"/>
        <v>0.17499999999999982</v>
      </c>
      <c r="AN34" s="21"/>
    </row>
    <row r="35" spans="1:40" x14ac:dyDescent="0.45">
      <c r="B35" s="85" t="s">
        <v>91</v>
      </c>
      <c r="C35" s="86"/>
      <c r="D35" s="86"/>
      <c r="E35" s="86"/>
      <c r="F35" s="87">
        <f>SUM(F8:F34)</f>
        <v>611096</v>
      </c>
      <c r="G35" s="88">
        <f>(H35/F35)</f>
        <v>9.0985415665343208</v>
      </c>
      <c r="H35" s="87">
        <f>SUM(H8:H34)</f>
        <v>5560082.3571428573</v>
      </c>
      <c r="I35" s="99"/>
      <c r="J35" s="99"/>
      <c r="K35" s="19"/>
      <c r="L35" s="100"/>
      <c r="M35" s="19"/>
      <c r="N35" s="19"/>
      <c r="O35" s="19"/>
      <c r="P35" s="101"/>
      <c r="Q35" s="19"/>
      <c r="R35" s="87">
        <f>SUM(R8:R34)</f>
        <v>982321.42590693675</v>
      </c>
      <c r="S35"/>
      <c r="T35" s="102"/>
      <c r="U35" s="103"/>
      <c r="V35" s="104"/>
    </row>
    <row r="36" spans="1:40" x14ac:dyDescent="0.45">
      <c r="B36" s="91"/>
      <c r="C36" s="24"/>
      <c r="D36" s="24"/>
      <c r="E36" s="24"/>
      <c r="F36" s="92"/>
      <c r="G36" s="93"/>
      <c r="H36" s="92"/>
      <c r="I36" s="99"/>
      <c r="J36" s="99"/>
      <c r="K36" s="19"/>
      <c r="L36" s="100"/>
      <c r="M36" s="19"/>
      <c r="N36" s="19"/>
      <c r="O36" s="19"/>
      <c r="P36" s="101"/>
      <c r="Q36" s="19"/>
      <c r="S36"/>
      <c r="T36" s="102"/>
      <c r="U36" s="103"/>
      <c r="V36" s="104"/>
    </row>
    <row r="37" spans="1:40" x14ac:dyDescent="0.45">
      <c r="A37"/>
      <c r="B37" s="89"/>
      <c r="C37" s="90"/>
      <c r="E37" s="90"/>
      <c r="F37" s="97"/>
      <c r="G37" s="98"/>
      <c r="H37" s="98"/>
      <c r="I37" s="99"/>
      <c r="J37" s="99"/>
      <c r="K37" s="19"/>
      <c r="L37" s="100"/>
      <c r="M37" s="19"/>
      <c r="N37" s="19"/>
      <c r="O37" s="19"/>
      <c r="P37" s="101"/>
      <c r="Q37" s="19"/>
      <c r="S37"/>
      <c r="T37" s="102"/>
      <c r="U37" s="103"/>
      <c r="V37" s="104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</row>
    <row r="38" spans="1:40" ht="14.65" thickBot="1" x14ac:dyDescent="0.5">
      <c r="B38" s="118" t="s">
        <v>183</v>
      </c>
      <c r="C38" s="119"/>
      <c r="D38" s="119"/>
      <c r="E38" s="119"/>
      <c r="F38" s="119"/>
      <c r="G38" s="119"/>
      <c r="H38" s="119"/>
      <c r="I38" s="119"/>
      <c r="J38" s="120"/>
      <c r="K38" s="19"/>
      <c r="L38" s="100"/>
      <c r="M38" s="19"/>
      <c r="N38" s="19"/>
      <c r="O38" s="19"/>
      <c r="P38" s="101"/>
      <c r="Q38" s="19"/>
      <c r="S38"/>
      <c r="T38" s="102"/>
      <c r="U38" s="103"/>
      <c r="V38" s="104"/>
    </row>
    <row r="39" spans="1:40" ht="45" customHeight="1" thickBot="1" x14ac:dyDescent="0.5">
      <c r="B39" s="23" t="s">
        <v>4</v>
      </c>
      <c r="C39" s="23" t="s">
        <v>5</v>
      </c>
      <c r="D39" s="23" t="s">
        <v>6</v>
      </c>
      <c r="E39" s="24" t="s">
        <v>7</v>
      </c>
      <c r="F39" s="23" t="s">
        <v>8</v>
      </c>
      <c r="G39" s="23" t="s">
        <v>9</v>
      </c>
      <c r="H39" s="23" t="s">
        <v>10</v>
      </c>
      <c r="I39" s="20" t="s">
        <v>94</v>
      </c>
      <c r="J39" s="16" t="s">
        <v>93</v>
      </c>
      <c r="K39" s="16" t="s">
        <v>95</v>
      </c>
      <c r="L39" s="20" t="s">
        <v>106</v>
      </c>
      <c r="M39" s="16" t="s">
        <v>98</v>
      </c>
      <c r="N39" s="16" t="s">
        <v>102</v>
      </c>
      <c r="O39" s="16" t="s">
        <v>101</v>
      </c>
      <c r="P39" s="16" t="s">
        <v>105</v>
      </c>
      <c r="Q39" s="16" t="s">
        <v>99</v>
      </c>
      <c r="R39" s="108"/>
      <c r="S39" s="16" t="s">
        <v>109</v>
      </c>
      <c r="T39" s="27" t="s">
        <v>111</v>
      </c>
      <c r="U39" s="28" t="s">
        <v>112</v>
      </c>
      <c r="V39" s="28" t="s">
        <v>113</v>
      </c>
    </row>
    <row r="40" spans="1:40" x14ac:dyDescent="0.45">
      <c r="B40" s="81" t="s">
        <v>17</v>
      </c>
      <c r="C40" s="82" t="s">
        <v>18</v>
      </c>
      <c r="D40" s="6" t="s">
        <v>19</v>
      </c>
      <c r="E40" s="84">
        <v>46205</v>
      </c>
      <c r="F40" s="8">
        <v>21617.16</v>
      </c>
      <c r="G40" s="9">
        <v>9.7101449275362324</v>
      </c>
      <c r="H40" s="8">
        <v>206907.10285714289</v>
      </c>
      <c r="I40" s="6" t="s">
        <v>108</v>
      </c>
      <c r="J40" s="6" t="s">
        <v>11</v>
      </c>
      <c r="K40" s="19">
        <f t="shared" ref="K40:K49" si="22">IF(J40="CIF",G40-0.3,G40)</f>
        <v>9.4101449275362317</v>
      </c>
      <c r="L40" s="33">
        <v>8.81</v>
      </c>
      <c r="M40" s="19">
        <f>_xlfn.IFNA(VLOOKUP(I40,Sheet1!D:E,2,FALSE),0)</f>
        <v>4</v>
      </c>
      <c r="N40" s="19">
        <f>_xlfn.IFNA(VLOOKUP(D40,Sheet1!G:H,2,FALSE),0)</f>
        <v>8</v>
      </c>
      <c r="O40" s="19">
        <f>_xlfn.IFNA(VLOOKUP(D40,Sheet1!K:L,2,FALSE),0)</f>
        <v>10</v>
      </c>
      <c r="P40" s="34">
        <v>24.89</v>
      </c>
      <c r="Q40" s="19">
        <f t="shared" ref="Q40:Q49" si="23">IF(P40&gt;0,(K40-L40)*P40+N40+O40-M40,0)</f>
        <v>28.937607246376793</v>
      </c>
      <c r="S40" s="25"/>
      <c r="T40" s="32">
        <f t="shared" ref="T40:T49" si="24">IF(P40&gt;0,(K40)-((34+M40-O40-N40)/P40),0)</f>
        <v>8.6066093710878597</v>
      </c>
      <c r="U40" s="29">
        <f t="shared" ref="U40:U49" si="25">IF(P40&gt;0,(F40/P40),0)</f>
        <v>868.50783447167532</v>
      </c>
      <c r="V40" s="30">
        <f t="shared" ref="V40:V49" si="26">(L40*F40)</f>
        <v>190447.1796</v>
      </c>
      <c r="X40" s="35"/>
    </row>
    <row r="41" spans="1:40" x14ac:dyDescent="0.45">
      <c r="B41" s="81" t="s">
        <v>32</v>
      </c>
      <c r="C41" s="82" t="s">
        <v>30</v>
      </c>
      <c r="D41" s="6" t="s">
        <v>19</v>
      </c>
      <c r="E41" s="84">
        <v>46212</v>
      </c>
      <c r="F41" s="8">
        <v>25004.6</v>
      </c>
      <c r="G41" s="9">
        <v>10.072463768115943</v>
      </c>
      <c r="H41" s="8">
        <v>248259.95714285717</v>
      </c>
      <c r="I41" s="6" t="s">
        <v>108</v>
      </c>
      <c r="J41" s="6" t="s">
        <v>11</v>
      </c>
      <c r="K41" s="19">
        <f t="shared" si="22"/>
        <v>9.7724637681159425</v>
      </c>
      <c r="L41" s="33">
        <v>8.2100000000000009</v>
      </c>
      <c r="M41" s="19">
        <f>_xlfn.IFNA(VLOOKUP(I41,Sheet1!D:E,2,FALSE),0)</f>
        <v>4</v>
      </c>
      <c r="N41" s="19">
        <f>_xlfn.IFNA(VLOOKUP(D41,Sheet1!G:H,2,FALSE),0)</f>
        <v>8</v>
      </c>
      <c r="O41" s="19">
        <f>_xlfn.IFNA(VLOOKUP(D41,Sheet1!K:L,2,FALSE),0)</f>
        <v>10</v>
      </c>
      <c r="P41" s="34">
        <v>18.239999999999998</v>
      </c>
      <c r="Q41" s="19">
        <f t="shared" si="23"/>
        <v>42.499339130434777</v>
      </c>
      <c r="S41" s="25"/>
      <c r="T41" s="32">
        <f t="shared" si="24"/>
        <v>8.6759725400457661</v>
      </c>
      <c r="U41" s="29">
        <f t="shared" si="25"/>
        <v>1370.8662280701756</v>
      </c>
      <c r="V41" s="30">
        <f t="shared" si="26"/>
        <v>205287.766</v>
      </c>
    </row>
    <row r="42" spans="1:40" ht="15.75" customHeight="1" x14ac:dyDescent="0.45">
      <c r="B42" s="81" t="s">
        <v>36</v>
      </c>
      <c r="C42" s="82" t="s">
        <v>37</v>
      </c>
      <c r="D42" s="6" t="s">
        <v>38</v>
      </c>
      <c r="E42" s="84">
        <v>46202</v>
      </c>
      <c r="F42" s="8">
        <v>15503.2</v>
      </c>
      <c r="G42" s="9">
        <v>9.7101449275362324</v>
      </c>
      <c r="H42" s="8">
        <v>148387.77142857143</v>
      </c>
      <c r="I42" s="6" t="s">
        <v>96</v>
      </c>
      <c r="J42" s="6" t="s">
        <v>11</v>
      </c>
      <c r="K42" s="19">
        <f t="shared" si="22"/>
        <v>9.4101449275362317</v>
      </c>
      <c r="L42" s="33">
        <v>7.8</v>
      </c>
      <c r="M42" s="19">
        <f>_xlfn.IFNA(VLOOKUP(I42,Sheet1!D:E,2,FALSE),0)</f>
        <v>2</v>
      </c>
      <c r="N42" s="19">
        <f>_xlfn.IFNA(VLOOKUP(D42,Sheet1!G:H,2,FALSE),0)</f>
        <v>8</v>
      </c>
      <c r="O42" s="19">
        <f>_xlfn.IFNA(VLOOKUP(D42,Sheet1!K:L,2,FALSE),0)</f>
        <v>10</v>
      </c>
      <c r="P42" s="34">
        <v>23.3</v>
      </c>
      <c r="Q42" s="19">
        <f t="shared" si="23"/>
        <v>53.516376811594206</v>
      </c>
      <c r="S42" s="25"/>
      <c r="T42" s="32">
        <f t="shared" si="24"/>
        <v>8.6376127386950294</v>
      </c>
      <c r="U42" s="29">
        <f t="shared" si="25"/>
        <v>665.37339055793996</v>
      </c>
      <c r="V42" s="30">
        <f t="shared" si="26"/>
        <v>120924.96</v>
      </c>
    </row>
    <row r="43" spans="1:40" x14ac:dyDescent="0.45">
      <c r="B43" s="81" t="s">
        <v>51</v>
      </c>
      <c r="C43" s="82" t="s">
        <v>52</v>
      </c>
      <c r="D43" s="6" t="s">
        <v>53</v>
      </c>
      <c r="E43" s="84">
        <v>46210</v>
      </c>
      <c r="F43" s="8">
        <v>25008.879999999997</v>
      </c>
      <c r="G43" s="9">
        <v>6.85</v>
      </c>
      <c r="H43" s="8">
        <v>171310.82799999998</v>
      </c>
      <c r="I43" s="6" t="s">
        <v>108</v>
      </c>
      <c r="J43" s="6" t="s">
        <v>50</v>
      </c>
      <c r="K43" s="19">
        <f t="shared" si="22"/>
        <v>6.85</v>
      </c>
      <c r="L43" s="33">
        <v>3.11</v>
      </c>
      <c r="M43" s="19">
        <f>_xlfn.IFNA(VLOOKUP(I43,Sheet1!D:E,2,FALSE),0)</f>
        <v>4</v>
      </c>
      <c r="N43" s="19">
        <f>_xlfn.IFNA(VLOOKUP(D43,Sheet1!G:H,2,FALSE),0)</f>
        <v>11</v>
      </c>
      <c r="O43" s="19">
        <f>_xlfn.IFNA(VLOOKUP(D43,Sheet1!K:L,2,FALSE),0)</f>
        <v>12</v>
      </c>
      <c r="P43" s="34">
        <v>18.8</v>
      </c>
      <c r="Q43" s="19">
        <f t="shared" si="23"/>
        <v>89.311999999999998</v>
      </c>
      <c r="S43" s="25"/>
      <c r="T43" s="32">
        <f t="shared" si="24"/>
        <v>6.0521276595744675</v>
      </c>
      <c r="U43" s="29">
        <f t="shared" si="25"/>
        <v>1330.259574468085</v>
      </c>
      <c r="V43" s="30">
        <f t="shared" si="26"/>
        <v>77777.616799999989</v>
      </c>
    </row>
    <row r="44" spans="1:40" x14ac:dyDescent="0.45">
      <c r="B44" s="81" t="s">
        <v>74</v>
      </c>
      <c r="C44" s="82" t="s">
        <v>52</v>
      </c>
      <c r="D44" s="6" t="s">
        <v>75</v>
      </c>
      <c r="E44" s="84">
        <v>46206</v>
      </c>
      <c r="F44" s="8">
        <v>15221.1</v>
      </c>
      <c r="G44" s="9">
        <v>11.5</v>
      </c>
      <c r="H44" s="8">
        <v>175042.65</v>
      </c>
      <c r="I44" s="6" t="s">
        <v>96</v>
      </c>
      <c r="J44" s="6" t="s">
        <v>50</v>
      </c>
      <c r="K44" s="19">
        <f t="shared" si="22"/>
        <v>11.5</v>
      </c>
      <c r="L44" s="33">
        <v>10.35</v>
      </c>
      <c r="M44" s="19">
        <f>_xlfn.IFNA(VLOOKUP(I44,Sheet1!D:E,2,FALSE),0)</f>
        <v>2</v>
      </c>
      <c r="N44" s="19">
        <f>_xlfn.IFNA(VLOOKUP(D44,Sheet1!G:H,2,FALSE),0)</f>
        <v>11</v>
      </c>
      <c r="O44" s="19">
        <f>_xlfn.IFNA(VLOOKUP(D44,Sheet1!K:L,2,FALSE),0)</f>
        <v>10</v>
      </c>
      <c r="P44" s="34">
        <v>18.059999999999999</v>
      </c>
      <c r="Q44" s="19">
        <f t="shared" si="23"/>
        <v>39.769000000000005</v>
      </c>
      <c r="S44" s="25"/>
      <c r="T44" s="32">
        <f t="shared" si="24"/>
        <v>10.669435215946844</v>
      </c>
      <c r="U44" s="29">
        <f t="shared" si="25"/>
        <v>842.80730897009971</v>
      </c>
      <c r="V44" s="30">
        <f t="shared" si="26"/>
        <v>157538.38500000001</v>
      </c>
    </row>
    <row r="45" spans="1:40" ht="14.25" customHeight="1" x14ac:dyDescent="0.45">
      <c r="B45" s="81" t="s">
        <v>79</v>
      </c>
      <c r="C45" s="82" t="s">
        <v>80</v>
      </c>
      <c r="D45" s="6" t="s">
        <v>53</v>
      </c>
      <c r="E45" s="84">
        <v>46219</v>
      </c>
      <c r="F45" s="8">
        <v>25000.18</v>
      </c>
      <c r="G45" s="9">
        <v>6.65</v>
      </c>
      <c r="H45" s="8">
        <v>166251.19700000001</v>
      </c>
      <c r="I45" s="6" t="s">
        <v>108</v>
      </c>
      <c r="J45" s="6" t="s">
        <v>50</v>
      </c>
      <c r="K45" s="19">
        <f t="shared" si="22"/>
        <v>6.65</v>
      </c>
      <c r="L45" s="33">
        <v>3.13</v>
      </c>
      <c r="M45" s="19">
        <f>_xlfn.IFNA(VLOOKUP(I45,Sheet1!D:E,2,FALSE),0)</f>
        <v>4</v>
      </c>
      <c r="N45" s="19">
        <f>_xlfn.IFNA(VLOOKUP(D45,Sheet1!G:H,2,FALSE),0)</f>
        <v>11</v>
      </c>
      <c r="O45" s="19">
        <f>_xlfn.IFNA(VLOOKUP(D45,Sheet1!K:L,2,FALSE),0)</f>
        <v>12</v>
      </c>
      <c r="P45" s="34">
        <v>18.2</v>
      </c>
      <c r="Q45" s="19">
        <f t="shared" si="23"/>
        <v>83.064000000000007</v>
      </c>
      <c r="S45" s="25"/>
      <c r="T45" s="32">
        <f t="shared" si="24"/>
        <v>5.8258241758241764</v>
      </c>
      <c r="U45" s="29">
        <f t="shared" si="25"/>
        <v>1373.6362637362638</v>
      </c>
      <c r="V45" s="30">
        <f t="shared" si="26"/>
        <v>78250.563399999999</v>
      </c>
    </row>
    <row r="46" spans="1:40" x14ac:dyDescent="0.45">
      <c r="B46" s="81" t="s">
        <v>84</v>
      </c>
      <c r="C46" s="82" t="s">
        <v>85</v>
      </c>
      <c r="D46" s="6" t="s">
        <v>75</v>
      </c>
      <c r="E46" s="84">
        <v>46206</v>
      </c>
      <c r="F46" s="8">
        <v>9836.2999999999993</v>
      </c>
      <c r="G46" s="9">
        <v>11</v>
      </c>
      <c r="H46" s="8">
        <v>108199.29999999999</v>
      </c>
      <c r="I46" s="6" t="s">
        <v>108</v>
      </c>
      <c r="J46" s="6" t="s">
        <v>50</v>
      </c>
      <c r="K46" s="19">
        <f t="shared" si="22"/>
        <v>11</v>
      </c>
      <c r="L46" s="33">
        <v>10.18</v>
      </c>
      <c r="M46" s="19">
        <f>_xlfn.IFNA(VLOOKUP(I46,Sheet1!D:E,2,FALSE),0)</f>
        <v>4</v>
      </c>
      <c r="N46" s="19">
        <f>_xlfn.IFNA(VLOOKUP(D46,Sheet1!G:H,2,FALSE),0)</f>
        <v>11</v>
      </c>
      <c r="O46" s="19">
        <f>_xlfn.IFNA(VLOOKUP(D46,Sheet1!K:L,2,FALSE),0)</f>
        <v>10</v>
      </c>
      <c r="P46" s="34">
        <v>18.34</v>
      </c>
      <c r="Q46" s="19">
        <f t="shared" si="23"/>
        <v>32.038800000000009</v>
      </c>
      <c r="S46" s="25"/>
      <c r="T46" s="32">
        <f t="shared" si="24"/>
        <v>10.073064340239913</v>
      </c>
      <c r="U46" s="29">
        <f t="shared" si="25"/>
        <v>536.33042529989086</v>
      </c>
      <c r="V46" s="30">
        <f t="shared" si="26"/>
        <v>100133.53399999999</v>
      </c>
    </row>
    <row r="47" spans="1:40" x14ac:dyDescent="0.45">
      <c r="B47" s="81" t="s">
        <v>86</v>
      </c>
      <c r="C47" s="82" t="s">
        <v>83</v>
      </c>
      <c r="D47" s="6" t="s">
        <v>41</v>
      </c>
      <c r="E47" s="84">
        <v>46212</v>
      </c>
      <c r="F47" s="8">
        <v>24026.78</v>
      </c>
      <c r="G47" s="9">
        <v>9.75</v>
      </c>
      <c r="H47" s="8">
        <v>234261.10499999998</v>
      </c>
      <c r="I47" s="6" t="s">
        <v>108</v>
      </c>
      <c r="J47" s="6" t="s">
        <v>50</v>
      </c>
      <c r="K47" s="19">
        <f t="shared" si="22"/>
        <v>9.75</v>
      </c>
      <c r="L47" s="33">
        <v>8.27</v>
      </c>
      <c r="M47" s="19">
        <f>_xlfn.IFNA(VLOOKUP(I47,Sheet1!D:E,2,FALSE),0)</f>
        <v>4</v>
      </c>
      <c r="N47" s="19">
        <f>_xlfn.IFNA(VLOOKUP(D47,Sheet1!G:H,2,FALSE),0)</f>
        <v>6</v>
      </c>
      <c r="O47" s="19">
        <f>_xlfn.IFNA(VLOOKUP(D47,Sheet1!K:L,2,FALSE),0)</f>
        <v>0</v>
      </c>
      <c r="P47" s="34">
        <v>16.63</v>
      </c>
      <c r="Q47" s="19">
        <f t="shared" si="23"/>
        <v>26.612400000000004</v>
      </c>
      <c r="S47" s="25"/>
      <c r="T47" s="32">
        <f t="shared" si="24"/>
        <v>7.8257666867107636</v>
      </c>
      <c r="U47" s="29">
        <f t="shared" si="25"/>
        <v>1444.7853277209863</v>
      </c>
      <c r="V47" s="30">
        <f t="shared" si="26"/>
        <v>198701.47059999997</v>
      </c>
    </row>
    <row r="48" spans="1:40" x14ac:dyDescent="0.45">
      <c r="B48" s="81" t="s">
        <v>87</v>
      </c>
      <c r="C48" s="82" t="s">
        <v>83</v>
      </c>
      <c r="D48" s="6" t="s">
        <v>41</v>
      </c>
      <c r="E48" s="84">
        <v>46226</v>
      </c>
      <c r="F48" s="8">
        <v>23066.560000000001</v>
      </c>
      <c r="G48" s="9">
        <v>9.75</v>
      </c>
      <c r="H48" s="8">
        <v>224898.96000000002</v>
      </c>
      <c r="I48" s="6" t="s">
        <v>108</v>
      </c>
      <c r="J48" s="6" t="s">
        <v>50</v>
      </c>
      <c r="K48" s="19">
        <f t="shared" si="22"/>
        <v>9.75</v>
      </c>
      <c r="L48" s="33">
        <v>7.93</v>
      </c>
      <c r="M48" s="19">
        <f>_xlfn.IFNA(VLOOKUP(I48,Sheet1!D:E,2,FALSE),0)</f>
        <v>4</v>
      </c>
      <c r="N48" s="19">
        <f>_xlfn.IFNA(VLOOKUP(D48,Sheet1!G:H,2,FALSE),0)</f>
        <v>6</v>
      </c>
      <c r="O48" s="19">
        <f>_xlfn.IFNA(VLOOKUP(D48,Sheet1!K:L,2,FALSE),0)</f>
        <v>0</v>
      </c>
      <c r="P48" s="34">
        <v>12.64</v>
      </c>
      <c r="Q48" s="19">
        <f t="shared" si="23"/>
        <v>25.004800000000003</v>
      </c>
      <c r="S48" s="25"/>
      <c r="T48" s="32">
        <f t="shared" si="24"/>
        <v>7.2183544303797476</v>
      </c>
      <c r="U48" s="29">
        <f t="shared" si="25"/>
        <v>1824.8860759493671</v>
      </c>
      <c r="V48" s="30">
        <f t="shared" si="26"/>
        <v>182917.82080000002</v>
      </c>
    </row>
    <row r="49" spans="2:22" x14ac:dyDescent="0.45">
      <c r="B49" s="81" t="s">
        <v>184</v>
      </c>
      <c r="C49" s="82" t="s">
        <v>182</v>
      </c>
      <c r="D49" s="6" t="s">
        <v>75</v>
      </c>
      <c r="E49" s="84">
        <v>46227</v>
      </c>
      <c r="F49" s="8">
        <v>950.75</v>
      </c>
      <c r="G49" s="9">
        <v>12.200000000000001</v>
      </c>
      <c r="H49" s="8">
        <v>9966.982</v>
      </c>
      <c r="I49" s="6" t="s">
        <v>185</v>
      </c>
      <c r="J49" s="6" t="s">
        <v>50</v>
      </c>
      <c r="K49" s="19">
        <f t="shared" si="22"/>
        <v>12.200000000000001</v>
      </c>
      <c r="L49" s="33">
        <v>10.6</v>
      </c>
      <c r="M49" s="19">
        <f>_xlfn.IFNA(VLOOKUP(I49,Sheet1!D:E,2,FALSE),0)</f>
        <v>7</v>
      </c>
      <c r="N49" s="19">
        <f>_xlfn.IFNA(VLOOKUP(D49,Sheet1!G:H,2,FALSE),0)</f>
        <v>11</v>
      </c>
      <c r="O49" s="19">
        <f>_xlfn.IFNA(VLOOKUP(D49,Sheet1!K:L,2,FALSE),0)</f>
        <v>10</v>
      </c>
      <c r="P49" s="34">
        <v>15.96</v>
      </c>
      <c r="Q49" s="19">
        <f t="shared" si="23"/>
        <v>39.536000000000023</v>
      </c>
      <c r="S49" s="25"/>
      <c r="T49" s="32">
        <f t="shared" si="24"/>
        <v>10.9468671679198</v>
      </c>
      <c r="U49" s="29">
        <f t="shared" si="25"/>
        <v>59.570802005012531</v>
      </c>
      <c r="V49" s="30">
        <f t="shared" si="26"/>
        <v>10077.949999999999</v>
      </c>
    </row>
    <row r="50" spans="2:22" x14ac:dyDescent="0.45">
      <c r="B50" s="81" t="s">
        <v>55</v>
      </c>
      <c r="C50" s="82" t="s">
        <v>52</v>
      </c>
      <c r="D50" s="6" t="s">
        <v>53</v>
      </c>
      <c r="E50" s="84">
        <v>46233</v>
      </c>
      <c r="F50" s="8">
        <v>25008.58</v>
      </c>
      <c r="G50" s="9">
        <v>6.85</v>
      </c>
      <c r="H50" s="8">
        <f>+F50*G50</f>
        <v>171308.77300000002</v>
      </c>
      <c r="I50" s="6" t="s">
        <v>108</v>
      </c>
      <c r="J50" s="6" t="s">
        <v>50</v>
      </c>
      <c r="K50" s="19">
        <f>IF(J50="CIF",G50-0.3,G50)</f>
        <v>6.85</v>
      </c>
      <c r="L50" s="33">
        <v>3.2</v>
      </c>
      <c r="M50" s="19">
        <f>_xlfn.IFNA(VLOOKUP(I50,Sheet1!D:E,2,FALSE),0)</f>
        <v>4</v>
      </c>
      <c r="N50" s="19">
        <f>_xlfn.IFNA(VLOOKUP(D50,Sheet1!G:H,2,FALSE),0)</f>
        <v>11</v>
      </c>
      <c r="O50" s="19">
        <f>_xlfn.IFNA(VLOOKUP(D50,Sheet1!K:L,2,FALSE),0)</f>
        <v>12</v>
      </c>
      <c r="P50" s="34">
        <v>18.2</v>
      </c>
      <c r="Q50" s="19">
        <f>IF(P50&gt;0,(K50-L50)*P50+N50+O50-M50,0)</f>
        <v>85.429999999999993</v>
      </c>
      <c r="S50" s="25"/>
      <c r="T50" s="32">
        <f>IF(P50&gt;0,(K50)-((34+M50-O50-N50)/P50),0)</f>
        <v>6.0258241758241757</v>
      </c>
      <c r="U50" s="29">
        <f>IF(P50&gt;0,(F50/P50),0)</f>
        <v>1374.0978021978024</v>
      </c>
      <c r="V50" s="30">
        <f>(L50*F50)</f>
        <v>80027.456000000006</v>
      </c>
    </row>
    <row r="51" spans="2:22" x14ac:dyDescent="0.45">
      <c r="B51" s="82" t="s">
        <v>190</v>
      </c>
      <c r="C51" s="82" t="s">
        <v>186</v>
      </c>
      <c r="D51" s="6" t="s">
        <v>41</v>
      </c>
      <c r="E51" s="84">
        <v>46233</v>
      </c>
      <c r="F51" s="8">
        <v>2151.6999999999998</v>
      </c>
      <c r="G51" s="9">
        <v>13.3</v>
      </c>
      <c r="H51" s="8">
        <v>28617.61</v>
      </c>
      <c r="I51" s="6" t="s">
        <v>96</v>
      </c>
      <c r="J51" s="6" t="s">
        <v>11</v>
      </c>
      <c r="K51" s="19">
        <f t="shared" ref="K51:K52" si="27">IF(J51="CIF",G51-0.3,G51)</f>
        <v>13</v>
      </c>
      <c r="L51" s="33">
        <v>7.8</v>
      </c>
      <c r="M51" s="19">
        <f>_xlfn.IFNA(VLOOKUP(I51,Sheet1!D:E,2,FALSE),0)</f>
        <v>2</v>
      </c>
      <c r="N51" s="19">
        <f>_xlfn.IFNA(VLOOKUP(D51,Sheet1!G:H,2,FALSE),0)</f>
        <v>6</v>
      </c>
      <c r="O51" s="19">
        <f>_xlfn.IFNA(VLOOKUP(D51,Sheet1!K:L,2,FALSE),0)</f>
        <v>0</v>
      </c>
      <c r="P51" s="34">
        <v>14.55</v>
      </c>
      <c r="Q51" s="19">
        <f t="shared" ref="Q51:Q52" si="28">IF(P51&gt;0,(K51-L51)*P51+N51+O51-M51,0)</f>
        <v>79.660000000000011</v>
      </c>
      <c r="R51" s="109">
        <v>16500</v>
      </c>
      <c r="S51" s="25"/>
      <c r="T51" s="32">
        <f t="shared" ref="T51:T54" si="29">IF(P51&gt;0,(K51)-((34+M51-O51-N51)/P51),0)</f>
        <v>10.938144329896907</v>
      </c>
      <c r="U51" s="29">
        <f t="shared" ref="U51:U52" si="30">IF(P51&gt;0,(F51/P51),0)</f>
        <v>147.88316151202747</v>
      </c>
      <c r="V51" s="30">
        <f t="shared" ref="V51:V52" si="31">(L51*F51)</f>
        <v>16783.259999999998</v>
      </c>
    </row>
    <row r="52" spans="2:22" x14ac:dyDescent="0.45">
      <c r="B52" s="82" t="s">
        <v>190</v>
      </c>
      <c r="C52" s="82" t="s">
        <v>186</v>
      </c>
      <c r="D52" s="6" t="s">
        <v>75</v>
      </c>
      <c r="E52" s="84">
        <v>46233</v>
      </c>
      <c r="F52" s="8">
        <v>248.05</v>
      </c>
      <c r="G52" s="9">
        <v>13.85</v>
      </c>
      <c r="H52" s="8">
        <v>3435.4925000000003</v>
      </c>
      <c r="I52" s="6" t="s">
        <v>96</v>
      </c>
      <c r="J52" s="6" t="s">
        <v>11</v>
      </c>
      <c r="K52" s="19">
        <f t="shared" si="27"/>
        <v>13.549999999999999</v>
      </c>
      <c r="L52" s="33">
        <v>10.6</v>
      </c>
      <c r="M52" s="19">
        <f>_xlfn.IFNA(VLOOKUP(I52,Sheet1!D:E,2,FALSE),0)</f>
        <v>2</v>
      </c>
      <c r="N52" s="19">
        <f>_xlfn.IFNA(VLOOKUP(D52,Sheet1!G:H,2,FALSE),0)</f>
        <v>11</v>
      </c>
      <c r="O52" s="19">
        <f>_xlfn.IFNA(VLOOKUP(D52,Sheet1!K:L,2,FALSE),0)</f>
        <v>10</v>
      </c>
      <c r="P52" s="34">
        <v>14</v>
      </c>
      <c r="Q52" s="19">
        <f t="shared" si="28"/>
        <v>60.29999999999999</v>
      </c>
      <c r="R52" s="109">
        <v>16500</v>
      </c>
      <c r="S52" s="25"/>
      <c r="T52" s="32">
        <f t="shared" si="29"/>
        <v>12.478571428571428</v>
      </c>
      <c r="U52" s="29">
        <f t="shared" si="30"/>
        <v>17.717857142857145</v>
      </c>
      <c r="V52" s="30">
        <f t="shared" si="31"/>
        <v>2629.33</v>
      </c>
    </row>
    <row r="53" spans="2:22" x14ac:dyDescent="0.45">
      <c r="B53" s="82" t="s">
        <v>192</v>
      </c>
      <c r="C53" s="82" t="s">
        <v>186</v>
      </c>
      <c r="D53" s="6" t="s">
        <v>41</v>
      </c>
      <c r="E53" s="84">
        <v>46238</v>
      </c>
      <c r="F53" s="8">
        <v>1131.73</v>
      </c>
      <c r="G53" s="9">
        <v>13.3</v>
      </c>
      <c r="H53" s="8">
        <v>15052.009000000002</v>
      </c>
      <c r="I53" s="6" t="s">
        <v>96</v>
      </c>
      <c r="J53" s="6" t="s">
        <v>11</v>
      </c>
      <c r="K53" s="19">
        <f>IF(J53="CIF",G53-0.3,G53)</f>
        <v>13</v>
      </c>
      <c r="L53" s="33">
        <v>7.9</v>
      </c>
      <c r="M53" s="19">
        <f>_xlfn.IFNA(VLOOKUP(I53,Sheet1!D:E,2,FALSE),0)</f>
        <v>2</v>
      </c>
      <c r="N53" s="19">
        <f>_xlfn.IFNA(VLOOKUP(D53,Sheet1!G:H,2,FALSE),0)</f>
        <v>6</v>
      </c>
      <c r="O53" s="19">
        <f>_xlfn.IFNA(VLOOKUP(D53,Sheet1!K:L,2,FALSE),0)</f>
        <v>0</v>
      </c>
      <c r="P53" s="34">
        <v>13.23</v>
      </c>
      <c r="Q53" s="19">
        <f>IF(P53&gt;0,(K53-L53)*P53+N53+O53-M53,0)</f>
        <v>71.472999999999999</v>
      </c>
      <c r="R53" s="109">
        <v>15734.59</v>
      </c>
      <c r="S53" s="25"/>
      <c r="T53" s="32">
        <f t="shared" si="29"/>
        <v>10.732426303854876</v>
      </c>
      <c r="U53" s="29">
        <f>IF(P53&gt;0,(F53/P53),0)</f>
        <v>85.5427059712774</v>
      </c>
      <c r="V53" s="30">
        <f>(L53*F53)</f>
        <v>8940.6670000000013</v>
      </c>
    </row>
    <row r="54" spans="2:22" x14ac:dyDescent="0.45">
      <c r="B54" s="81" t="s">
        <v>192</v>
      </c>
      <c r="C54" s="82" t="s">
        <v>186</v>
      </c>
      <c r="D54" s="6" t="s">
        <v>75</v>
      </c>
      <c r="E54" s="84">
        <v>46238</v>
      </c>
      <c r="F54" s="8">
        <v>149.25</v>
      </c>
      <c r="G54" s="9">
        <v>13.85</v>
      </c>
      <c r="H54" s="8">
        <v>2067.1124999999997</v>
      </c>
      <c r="I54" s="6" t="s">
        <v>96</v>
      </c>
      <c r="J54" s="6" t="s">
        <v>11</v>
      </c>
      <c r="K54" s="19">
        <f>IF(J54="CIF",G54-0.3,G54)</f>
        <v>13.549999999999999</v>
      </c>
      <c r="L54" s="94">
        <v>10.38</v>
      </c>
      <c r="M54" s="19">
        <v>2</v>
      </c>
      <c r="N54" s="19">
        <f>_xlfn.IFNA(VLOOKUP(D54,Sheet1!G:H,2,FALSE),0)</f>
        <v>11</v>
      </c>
      <c r="O54" s="19">
        <f>_xlfn.IFNA(VLOOKUP(D54,Sheet1!K:L,2,FALSE),0)</f>
        <v>10</v>
      </c>
      <c r="P54" s="34">
        <v>17.07</v>
      </c>
      <c r="Q54" s="19">
        <f>IF(P54&gt;0,(K54-L54)*P54+N54+O54-M54,0)</f>
        <v>73.111899999999963</v>
      </c>
      <c r="R54" s="109">
        <v>16000</v>
      </c>
      <c r="S54" s="25"/>
      <c r="T54" s="32">
        <f t="shared" si="29"/>
        <v>12.671265377855887</v>
      </c>
      <c r="U54" s="29">
        <f>IF(P54&gt;0,(F54/P54),0)</f>
        <v>8.743409490333919</v>
      </c>
      <c r="V54" s="30">
        <f>(L54*F54)</f>
        <v>1549.2150000000001</v>
      </c>
    </row>
    <row r="55" spans="2:22" x14ac:dyDescent="0.45">
      <c r="B55" s="81" t="s">
        <v>81</v>
      </c>
      <c r="C55" s="82" t="s">
        <v>80</v>
      </c>
      <c r="D55" s="6" t="s">
        <v>53</v>
      </c>
      <c r="E55" s="84">
        <v>46240</v>
      </c>
      <c r="F55" s="8">
        <v>24919.62</v>
      </c>
      <c r="G55" s="9">
        <v>6.65</v>
      </c>
      <c r="H55" s="8">
        <v>165715.47</v>
      </c>
      <c r="I55" s="6" t="s">
        <v>108</v>
      </c>
      <c r="J55" s="6" t="s">
        <v>50</v>
      </c>
      <c r="K55" s="19">
        <f>IF(J55="CIF",G55-0.3,G55)</f>
        <v>6.65</v>
      </c>
      <c r="L55" s="33">
        <v>3.37</v>
      </c>
      <c r="M55" s="19">
        <f>_xlfn.IFNA(VLOOKUP(I55,Sheet1!D:E,2,FALSE),0)</f>
        <v>4</v>
      </c>
      <c r="N55" s="19">
        <f>_xlfn.IFNA(VLOOKUP(D55,Sheet1!G:H,2,FALSE),0)</f>
        <v>11</v>
      </c>
      <c r="O55" s="19">
        <f>_xlfn.IFNA(VLOOKUP(D55,Sheet1!K:L,2,FALSE),0)</f>
        <v>12</v>
      </c>
      <c r="P55" s="34">
        <v>18</v>
      </c>
      <c r="Q55" s="19">
        <f>IF(P55&gt;0,(K55-L55)*P55+N55+O55-M55,0)</f>
        <v>78.040000000000006</v>
      </c>
      <c r="S55" s="25"/>
      <c r="T55" s="32">
        <f>IF(P55&gt;0,(K55)-((40+M55-O55-N55)/P55),0)</f>
        <v>5.4833333333333334</v>
      </c>
      <c r="U55" s="29">
        <f>IF(P55&gt;0,(F55/P55),0)</f>
        <v>1384.4233333333332</v>
      </c>
      <c r="V55" s="30">
        <f>(L55*F55)</f>
        <v>83979.119399999996</v>
      </c>
    </row>
    <row r="56" spans="2:22" x14ac:dyDescent="0.45">
      <c r="F56" s="87">
        <f>SUM(F40:F55)</f>
        <v>238844.43999999997</v>
      </c>
      <c r="G56" s="88">
        <f>(H56/F56)</f>
        <v>8.7072670413787812</v>
      </c>
      <c r="H56" s="87">
        <f>SUM(H40:H55)</f>
        <v>2079682.3204285717</v>
      </c>
      <c r="R56" s="87">
        <f>SUM(R40:R54)</f>
        <v>64734.59</v>
      </c>
    </row>
  </sheetData>
  <autoFilter ref="B7:V35" xr:uid="{FC884DB5-4AF3-4BDE-B015-A9A759F58E99}"/>
  <mergeCells count="2">
    <mergeCell ref="B38:J38"/>
    <mergeCell ref="B5:H5"/>
  </mergeCells>
  <phoneticPr fontId="4" type="noConversion"/>
  <conditionalFormatting sqref="Q8:Q38 Q40:Q55">
    <cfRule type="cellIs" dxfId="2" priority="1" operator="lessThan">
      <formula>30</formula>
    </cfRule>
    <cfRule type="cellIs" dxfId="1" priority="2" operator="between">
      <formula>30</formula>
      <formula>40</formula>
    </cfRule>
    <cfRule type="cellIs" dxfId="0" priority="3" operator="greaterThan">
      <formula>40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B3ED15C-8429-41C5-B8BB-069787DD857D}">
          <x14:formula1>
            <xm:f>Sheet1!$D$3:$D$5</xm:f>
          </x14:formula1>
          <xm:sqref>I40:I55 I8:I37</xm:sqref>
        </x14:dataValidation>
        <x14:dataValidation type="list" allowBlank="1" showInputMessage="1" showErrorMessage="1" xr:uid="{A61ECD1A-6EC5-4935-993A-A4326ACEF7EE}">
          <x14:formula1>
            <xm:f>Sheet1!$B$3:$B$4</xm:f>
          </x14:formula1>
          <xm:sqref>I8:J18 I40:J50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55ED-E4D0-4D89-B9B5-2B7824A7EAD0}">
  <sheetPr codeName="Sheet2"/>
  <dimension ref="A2:Q73"/>
  <sheetViews>
    <sheetView workbookViewId="0">
      <selection activeCell="G66" sqref="G66"/>
    </sheetView>
  </sheetViews>
  <sheetFormatPr defaultRowHeight="14.25" x14ac:dyDescent="0.45"/>
  <cols>
    <col min="1" max="1" width="8.73046875" style="21"/>
    <col min="2" max="2" width="21.73046875" style="21" customWidth="1"/>
    <col min="3" max="3" width="17.265625" style="22" customWidth="1"/>
    <col min="4" max="4" width="19.265625" style="21" customWidth="1"/>
    <col min="5" max="5" width="11.265625" style="22" customWidth="1"/>
    <col min="6" max="6" width="11.73046875" style="21" customWidth="1"/>
    <col min="7" max="7" width="11" style="21" customWidth="1"/>
    <col min="8" max="8" width="13.59765625" style="22" customWidth="1"/>
    <col min="9" max="9" width="12" style="21" bestFit="1" customWidth="1"/>
    <col min="10" max="10" width="7.3984375" style="21" bestFit="1" customWidth="1"/>
    <col min="11" max="12" width="9.73046875" style="21" bestFit="1" customWidth="1"/>
    <col min="13" max="17" width="8.73046875" style="21"/>
  </cols>
  <sheetData>
    <row r="2" spans="2:12" ht="14.65" thickBot="1" x14ac:dyDescent="0.5">
      <c r="B2" s="68" t="s">
        <v>155</v>
      </c>
    </row>
    <row r="3" spans="2:12" ht="14.65" thickBot="1" x14ac:dyDescent="0.5">
      <c r="H3" s="124" t="s">
        <v>154</v>
      </c>
      <c r="I3" s="125"/>
      <c r="J3" s="125"/>
      <c r="K3" s="126"/>
    </row>
    <row r="4" spans="2:12" ht="12.6" customHeight="1" x14ac:dyDescent="0.45">
      <c r="I4" s="22">
        <v>22</v>
      </c>
      <c r="J4" s="51">
        <v>9.67</v>
      </c>
      <c r="K4" s="51">
        <v>65000</v>
      </c>
    </row>
    <row r="5" spans="2:12" ht="14.65" thickBot="1" x14ac:dyDescent="0.5">
      <c r="C5" s="52" t="s">
        <v>125</v>
      </c>
      <c r="D5" s="52" t="s">
        <v>126</v>
      </c>
      <c r="E5" s="52" t="s">
        <v>105</v>
      </c>
      <c r="F5" s="52" t="s">
        <v>127</v>
      </c>
      <c r="G5" s="52" t="s">
        <v>119</v>
      </c>
      <c r="H5" s="52" t="s">
        <v>143</v>
      </c>
      <c r="I5" s="52" t="s">
        <v>144</v>
      </c>
      <c r="J5" s="52" t="s">
        <v>145</v>
      </c>
      <c r="K5" s="52" t="s">
        <v>146</v>
      </c>
      <c r="L5" s="52" t="s">
        <v>139</v>
      </c>
    </row>
    <row r="6" spans="2:12" ht="23.65" customHeight="1" x14ac:dyDescent="0.45">
      <c r="B6" s="53" t="s">
        <v>121</v>
      </c>
      <c r="C6" s="51">
        <v>11</v>
      </c>
      <c r="D6" s="51">
        <v>10</v>
      </c>
      <c r="E6" s="22">
        <v>18</v>
      </c>
      <c r="F6" s="51">
        <v>10</v>
      </c>
      <c r="G6" s="54">
        <v>1500</v>
      </c>
      <c r="H6" s="55">
        <f>(G6*D6*E6)</f>
        <v>270000</v>
      </c>
      <c r="I6" s="55">
        <f>($I$4*G6)</f>
        <v>33000</v>
      </c>
      <c r="J6" s="55">
        <f>($J$4*G6)</f>
        <v>14505</v>
      </c>
    </row>
    <row r="7" spans="2:12" x14ac:dyDescent="0.45">
      <c r="B7" s="53" t="s">
        <v>122</v>
      </c>
      <c r="C7" s="51">
        <v>9.75</v>
      </c>
      <c r="D7" s="51">
        <v>9</v>
      </c>
      <c r="E7" s="22">
        <v>20</v>
      </c>
      <c r="F7" s="51">
        <v>10</v>
      </c>
      <c r="G7" s="54">
        <v>1500</v>
      </c>
      <c r="H7" s="55">
        <f>(G7*D7*E7)</f>
        <v>270000</v>
      </c>
      <c r="I7" s="55">
        <f>($I$4*G7)</f>
        <v>33000</v>
      </c>
      <c r="J7" s="55">
        <f>($J$4*G7)</f>
        <v>14505</v>
      </c>
    </row>
    <row r="8" spans="2:12" x14ac:dyDescent="0.45">
      <c r="B8" s="53" t="s">
        <v>123</v>
      </c>
      <c r="C8" s="51">
        <v>9.6</v>
      </c>
      <c r="D8" s="51">
        <v>7.9</v>
      </c>
      <c r="E8" s="22">
        <v>14</v>
      </c>
      <c r="F8" s="51">
        <v>0</v>
      </c>
      <c r="G8" s="54">
        <v>2000</v>
      </c>
      <c r="H8" s="55">
        <f>(G8*D8*E8)</f>
        <v>221200</v>
      </c>
      <c r="I8" s="55">
        <f>($I$4*G8)</f>
        <v>44000</v>
      </c>
      <c r="J8" s="55">
        <f>($J$4*G8)</f>
        <v>19340</v>
      </c>
    </row>
    <row r="9" spans="2:12" x14ac:dyDescent="0.45">
      <c r="B9" s="53" t="s">
        <v>124</v>
      </c>
      <c r="C9" s="51">
        <v>6.85</v>
      </c>
      <c r="D9" s="51">
        <v>3.2</v>
      </c>
      <c r="E9" s="22">
        <v>17</v>
      </c>
      <c r="F9" s="51">
        <v>12.5</v>
      </c>
      <c r="G9" s="54">
        <v>2800</v>
      </c>
      <c r="H9" s="55">
        <f>(G9*D9*E9)</f>
        <v>152320</v>
      </c>
      <c r="I9" s="55">
        <f>($I$4*G9)</f>
        <v>61600</v>
      </c>
      <c r="J9" s="55">
        <f>($J$4*G9)</f>
        <v>27076</v>
      </c>
    </row>
    <row r="10" spans="2:12" ht="14.65" thickBot="1" x14ac:dyDescent="0.5">
      <c r="C10" s="51"/>
      <c r="D10" s="51"/>
      <c r="F10" s="51"/>
      <c r="G10" s="56">
        <f>SUM(G6:G9)</f>
        <v>7800</v>
      </c>
      <c r="H10" s="66">
        <f>SUM(H6:H9)</f>
        <v>913520</v>
      </c>
      <c r="I10" s="66">
        <f>SUM(I6:I9)</f>
        <v>171600</v>
      </c>
      <c r="J10" s="66">
        <f>SUM(J6:J9)</f>
        <v>75426</v>
      </c>
      <c r="K10" s="66">
        <f>(K4*1)</f>
        <v>65000</v>
      </c>
      <c r="L10" s="66">
        <f>SUM(H10:K10)</f>
        <v>1225546</v>
      </c>
    </row>
    <row r="11" spans="2:12" hidden="1" x14ac:dyDescent="0.45">
      <c r="E11" s="57">
        <v>10000</v>
      </c>
    </row>
    <row r="12" spans="2:12" ht="66" hidden="1" x14ac:dyDescent="0.45">
      <c r="C12" s="58" t="s">
        <v>128</v>
      </c>
      <c r="D12" s="58" t="s">
        <v>129</v>
      </c>
      <c r="E12" s="58" t="s">
        <v>138</v>
      </c>
    </row>
    <row r="13" spans="2:12" ht="16.5" hidden="1" x14ac:dyDescent="0.45">
      <c r="C13" s="59" t="s">
        <v>130</v>
      </c>
      <c r="D13" s="58">
        <v>0.12</v>
      </c>
      <c r="E13" s="60">
        <f>($E$11/D13)</f>
        <v>83333.333333333343</v>
      </c>
    </row>
    <row r="14" spans="2:12" ht="16.5" hidden="1" x14ac:dyDescent="0.45">
      <c r="C14" s="59" t="s">
        <v>131</v>
      </c>
      <c r="D14" s="58">
        <v>0.25</v>
      </c>
      <c r="E14" s="60">
        <f>($E$11/D14)</f>
        <v>40000</v>
      </c>
    </row>
    <row r="15" spans="2:12" ht="16.5" hidden="1" x14ac:dyDescent="0.45">
      <c r="C15" s="59" t="s">
        <v>132</v>
      </c>
      <c r="D15" s="58">
        <v>0.18</v>
      </c>
      <c r="E15" s="61">
        <f t="shared" ref="E15:E20" si="0">($E$11/D15)</f>
        <v>55555.555555555555</v>
      </c>
    </row>
    <row r="16" spans="2:12" ht="16.5" hidden="1" x14ac:dyDescent="0.45">
      <c r="C16" s="59" t="s">
        <v>133</v>
      </c>
      <c r="D16" s="58">
        <v>0.65</v>
      </c>
      <c r="E16" s="60">
        <f t="shared" si="0"/>
        <v>15384.615384615385</v>
      </c>
    </row>
    <row r="17" spans="3:5" ht="16.5" hidden="1" x14ac:dyDescent="0.45">
      <c r="C17" s="59" t="s">
        <v>134</v>
      </c>
      <c r="D17" s="58">
        <v>0.6</v>
      </c>
      <c r="E17" s="60">
        <f t="shared" si="0"/>
        <v>16666.666666666668</v>
      </c>
    </row>
    <row r="18" spans="3:5" ht="16.5" hidden="1" x14ac:dyDescent="0.45">
      <c r="C18" s="59" t="s">
        <v>136</v>
      </c>
      <c r="D18" s="58">
        <v>0.18</v>
      </c>
      <c r="E18" s="60">
        <f t="shared" si="0"/>
        <v>55555.555555555555</v>
      </c>
    </row>
    <row r="19" spans="3:5" ht="16.5" hidden="1" x14ac:dyDescent="0.45">
      <c r="C19" s="59" t="s">
        <v>135</v>
      </c>
      <c r="D19" s="58">
        <v>0.12</v>
      </c>
      <c r="E19" s="60">
        <f t="shared" si="0"/>
        <v>83333.333333333343</v>
      </c>
    </row>
    <row r="20" spans="3:5" ht="16.5" hidden="1" x14ac:dyDescent="0.45">
      <c r="C20" s="59" t="s">
        <v>137</v>
      </c>
      <c r="D20" s="58">
        <v>0.84</v>
      </c>
      <c r="E20" s="60">
        <f t="shared" si="0"/>
        <v>11904.761904761905</v>
      </c>
    </row>
    <row r="21" spans="3:5" hidden="1" x14ac:dyDescent="0.45"/>
    <row r="22" spans="3:5" hidden="1" x14ac:dyDescent="0.45"/>
    <row r="25" spans="3:5" x14ac:dyDescent="0.45">
      <c r="C25" s="67" t="s">
        <v>153</v>
      </c>
    </row>
    <row r="26" spans="3:5" x14ac:dyDescent="0.45">
      <c r="C26" s="62" t="s">
        <v>147</v>
      </c>
      <c r="D26" s="63"/>
      <c r="E26" s="64">
        <v>1</v>
      </c>
    </row>
    <row r="27" spans="3:5" x14ac:dyDescent="0.45">
      <c r="C27" s="62" t="s">
        <v>148</v>
      </c>
      <c r="D27" s="63"/>
      <c r="E27" s="64">
        <v>2</v>
      </c>
    </row>
    <row r="28" spans="3:5" x14ac:dyDescent="0.45">
      <c r="C28" s="62" t="s">
        <v>150</v>
      </c>
      <c r="D28" s="63"/>
      <c r="E28" s="64">
        <v>3</v>
      </c>
    </row>
    <row r="29" spans="3:5" x14ac:dyDescent="0.45">
      <c r="C29" s="62" t="s">
        <v>149</v>
      </c>
      <c r="D29" s="63"/>
      <c r="E29" s="64">
        <v>5</v>
      </c>
    </row>
    <row r="30" spans="3:5" ht="14.65" thickBot="1" x14ac:dyDescent="0.5">
      <c r="C30" s="62" t="s">
        <v>151</v>
      </c>
      <c r="D30" s="63"/>
      <c r="E30" s="64">
        <v>5</v>
      </c>
    </row>
    <row r="31" spans="3:5" ht="14.65" thickBot="1" x14ac:dyDescent="0.5">
      <c r="C31" s="62" t="s">
        <v>152</v>
      </c>
      <c r="E31" s="65">
        <f>(L10*E30)</f>
        <v>6127730</v>
      </c>
    </row>
    <row r="35" spans="1:17" x14ac:dyDescent="0.45">
      <c r="B35" s="68" t="s">
        <v>156</v>
      </c>
    </row>
    <row r="37" spans="1:17" s="70" customFormat="1" ht="28.5" x14ac:dyDescent="0.45">
      <c r="A37" s="69"/>
      <c r="B37" s="69"/>
      <c r="C37" s="73" t="s">
        <v>157</v>
      </c>
      <c r="D37" s="73" t="s">
        <v>158</v>
      </c>
      <c r="E37" s="74" t="s">
        <v>159</v>
      </c>
      <c r="F37" s="74" t="s">
        <v>161</v>
      </c>
      <c r="G37" s="74" t="s">
        <v>160</v>
      </c>
      <c r="H37" s="73" t="s">
        <v>162</v>
      </c>
      <c r="I37" s="73" t="s">
        <v>163</v>
      </c>
      <c r="K37" s="69"/>
      <c r="L37" s="69"/>
      <c r="M37" s="69"/>
      <c r="N37" s="69"/>
      <c r="O37" s="69"/>
      <c r="P37" s="69"/>
      <c r="Q37" s="69"/>
    </row>
    <row r="38" spans="1:17" x14ac:dyDescent="0.45">
      <c r="B38" s="53" t="s">
        <v>121</v>
      </c>
      <c r="C38" s="71">
        <v>30</v>
      </c>
      <c r="D38" s="71">
        <v>19.25</v>
      </c>
      <c r="E38" s="71">
        <v>9.67</v>
      </c>
      <c r="F38" s="71">
        <f>(C38-D38-E38)</f>
        <v>1.08</v>
      </c>
      <c r="G38" s="72">
        <f>(F38*G6)</f>
        <v>1620</v>
      </c>
      <c r="H38" s="72">
        <f>(H42/$G$10)*G6</f>
        <v>38680.913461538461</v>
      </c>
      <c r="I38" s="72">
        <f>(G38-H38)</f>
        <v>-37060.913461538461</v>
      </c>
    </row>
    <row r="39" spans="1:17" x14ac:dyDescent="0.45">
      <c r="B39" s="53" t="s">
        <v>122</v>
      </c>
      <c r="C39" s="71">
        <v>30</v>
      </c>
      <c r="D39" s="71">
        <v>19.25</v>
      </c>
      <c r="E39" s="71">
        <v>9.67</v>
      </c>
      <c r="F39" s="71">
        <f>(C39-D39-E39)</f>
        <v>1.08</v>
      </c>
      <c r="G39" s="72">
        <f>(F39*G7)</f>
        <v>1620</v>
      </c>
      <c r="H39" s="72">
        <f>(H42/$G$10)*G7</f>
        <v>38680.913461538461</v>
      </c>
      <c r="I39" s="72">
        <f>(G39-H39)</f>
        <v>-37060.913461538461</v>
      </c>
    </row>
    <row r="40" spans="1:17" x14ac:dyDescent="0.45">
      <c r="B40" s="53" t="s">
        <v>123</v>
      </c>
      <c r="C40" s="71">
        <v>30</v>
      </c>
      <c r="D40" s="71">
        <v>19.25</v>
      </c>
      <c r="E40" s="71">
        <v>9.67</v>
      </c>
      <c r="F40" s="71">
        <f>(C40-D40-E40)</f>
        <v>1.08</v>
      </c>
      <c r="G40" s="72">
        <f>(F40*G8)</f>
        <v>2160</v>
      </c>
      <c r="H40" s="72">
        <f>(H42/$G$10)*G8</f>
        <v>51574.551282051281</v>
      </c>
      <c r="I40" s="72">
        <f>(G40-H40)</f>
        <v>-49414.551282051281</v>
      </c>
    </row>
    <row r="41" spans="1:17" x14ac:dyDescent="0.45">
      <c r="B41" s="77" t="s">
        <v>124</v>
      </c>
      <c r="C41" s="75">
        <v>76.400000000000006</v>
      </c>
      <c r="D41" s="76">
        <v>19.25</v>
      </c>
      <c r="E41" s="76">
        <v>9.67</v>
      </c>
      <c r="F41" s="76">
        <f>(C41-D41-E41)</f>
        <v>47.480000000000004</v>
      </c>
      <c r="G41" s="72">
        <f>(F41*G9)</f>
        <v>132944</v>
      </c>
      <c r="H41" s="72">
        <f>(H42/$G$10)*G9</f>
        <v>72204.371794871797</v>
      </c>
      <c r="I41" s="72">
        <f>(G41-H41)</f>
        <v>60739.628205128203</v>
      </c>
    </row>
    <row r="42" spans="1:17" ht="14.65" thickBot="1" x14ac:dyDescent="0.5">
      <c r="F42" s="78">
        <f>(G42/G10)</f>
        <v>17.736410256410256</v>
      </c>
      <c r="G42" s="79">
        <f>SUM(G38:G41)</f>
        <v>138344</v>
      </c>
      <c r="H42" s="79">
        <f>(804563/4)</f>
        <v>201140.75</v>
      </c>
      <c r="I42" s="79">
        <f>(G42-H42)</f>
        <v>-62796.75</v>
      </c>
    </row>
    <row r="46" spans="1:17" x14ac:dyDescent="0.45">
      <c r="B46" s="68" t="s">
        <v>164</v>
      </c>
    </row>
    <row r="48" spans="1:17" x14ac:dyDescent="0.45">
      <c r="B48" s="68" t="s">
        <v>167</v>
      </c>
    </row>
    <row r="50" spans="2:4" x14ac:dyDescent="0.45">
      <c r="B50" s="21" t="s">
        <v>168</v>
      </c>
      <c r="C50" s="22" t="s">
        <v>169</v>
      </c>
    </row>
    <row r="51" spans="2:4" x14ac:dyDescent="0.45">
      <c r="B51" s="21" t="s">
        <v>165</v>
      </c>
      <c r="C51" s="51">
        <v>1.64</v>
      </c>
    </row>
    <row r="52" spans="2:4" x14ac:dyDescent="0.45">
      <c r="B52" s="21" t="s">
        <v>166</v>
      </c>
      <c r="C52" s="51">
        <v>2</v>
      </c>
    </row>
    <row r="53" spans="2:4" hidden="1" x14ac:dyDescent="0.45">
      <c r="C53" s="51">
        <f>(C51*G6)</f>
        <v>2460</v>
      </c>
    </row>
    <row r="54" spans="2:4" hidden="1" x14ac:dyDescent="0.45">
      <c r="C54" s="51">
        <f>(C52)*(G6+G7)</f>
        <v>6000</v>
      </c>
    </row>
    <row r="55" spans="2:4" ht="14.65" thickBot="1" x14ac:dyDescent="0.5">
      <c r="B55" s="21" t="s">
        <v>170</v>
      </c>
      <c r="C55" s="66">
        <f>SUM(C53:C54)</f>
        <v>8460</v>
      </c>
    </row>
    <row r="56" spans="2:4" x14ac:dyDescent="0.45">
      <c r="C56" s="55"/>
    </row>
    <row r="57" spans="2:4" x14ac:dyDescent="0.45">
      <c r="C57" s="55"/>
    </row>
    <row r="58" spans="2:4" x14ac:dyDescent="0.45">
      <c r="B58" s="68" t="s">
        <v>179</v>
      </c>
      <c r="C58" s="55"/>
    </row>
    <row r="59" spans="2:4" x14ac:dyDescent="0.45">
      <c r="B59" s="21" t="s">
        <v>177</v>
      </c>
      <c r="C59" s="55"/>
      <c r="D59" s="51">
        <v>3</v>
      </c>
    </row>
    <row r="60" spans="2:4" ht="14.65" thickBot="1" x14ac:dyDescent="0.5">
      <c r="B60" s="21" t="s">
        <v>178</v>
      </c>
      <c r="C60" s="55"/>
      <c r="D60" s="66">
        <f>(D59*E8*200)</f>
        <v>8400</v>
      </c>
    </row>
    <row r="61" spans="2:4" x14ac:dyDescent="0.45">
      <c r="C61" s="55"/>
    </row>
    <row r="63" spans="2:4" x14ac:dyDescent="0.45">
      <c r="B63" s="68" t="s">
        <v>180</v>
      </c>
    </row>
    <row r="64" spans="2:4" x14ac:dyDescent="0.45">
      <c r="B64" s="21" t="s">
        <v>171</v>
      </c>
    </row>
    <row r="65" spans="2:4" x14ac:dyDescent="0.45">
      <c r="B65" s="21" t="s">
        <v>172</v>
      </c>
      <c r="C65" s="51">
        <v>2.5</v>
      </c>
    </row>
    <row r="66" spans="2:4" ht="14.65" thickBot="1" x14ac:dyDescent="0.5">
      <c r="B66" s="21" t="s">
        <v>173</v>
      </c>
      <c r="C66" s="66">
        <f>(C65*G10)</f>
        <v>19500</v>
      </c>
    </row>
    <row r="68" spans="2:4" x14ac:dyDescent="0.45">
      <c r="B68" s="21" t="s">
        <v>174</v>
      </c>
    </row>
    <row r="69" spans="2:4" ht="14.65" thickBot="1" x14ac:dyDescent="0.5">
      <c r="B69" s="21" t="s">
        <v>175</v>
      </c>
      <c r="C69" s="66">
        <v>25000</v>
      </c>
      <c r="D69" s="80">
        <f>(C69/804563)</f>
        <v>3.1072768695552741E-2</v>
      </c>
    </row>
    <row r="73" spans="2:4" ht="14.65" thickBot="1" x14ac:dyDescent="0.5">
      <c r="B73" s="21" t="s">
        <v>176</v>
      </c>
      <c r="C73" s="66">
        <f>(C69+C66+C55+D60)</f>
        <v>61360</v>
      </c>
    </row>
  </sheetData>
  <mergeCells count="1">
    <mergeCell ref="H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91A3-3612-4F67-AC78-669CC084E16D}">
  <sheetPr codeName="Sheet3"/>
  <dimension ref="B1:H11"/>
  <sheetViews>
    <sheetView workbookViewId="0">
      <selection activeCell="G66" sqref="G66"/>
    </sheetView>
  </sheetViews>
  <sheetFormatPr defaultRowHeight="14.25" x14ac:dyDescent="0.45"/>
  <cols>
    <col min="2" max="2" width="16" customWidth="1"/>
    <col min="3" max="3" width="18.3984375" customWidth="1"/>
    <col min="4" max="5" width="16.73046875" customWidth="1"/>
    <col min="6" max="6" width="15.59765625" customWidth="1"/>
    <col min="7" max="7" width="20.59765625" customWidth="1"/>
  </cols>
  <sheetData>
    <row r="1" spans="2:8" x14ac:dyDescent="0.45">
      <c r="E1" s="14">
        <v>3000</v>
      </c>
      <c r="F1" s="14"/>
    </row>
    <row r="2" spans="2:8" ht="54" customHeight="1" x14ac:dyDescent="0.45">
      <c r="B2" s="48" t="s">
        <v>128</v>
      </c>
      <c r="C2" s="48" t="s">
        <v>129</v>
      </c>
      <c r="D2" s="48" t="s">
        <v>138</v>
      </c>
      <c r="E2" s="48" t="s">
        <v>142</v>
      </c>
      <c r="F2" s="48" t="s">
        <v>141</v>
      </c>
      <c r="G2" s="48" t="s">
        <v>140</v>
      </c>
    </row>
    <row r="3" spans="2:8" ht="16.5" x14ac:dyDescent="0.45">
      <c r="B3" s="46" t="s">
        <v>130</v>
      </c>
      <c r="C3" s="47">
        <v>0.12</v>
      </c>
      <c r="D3" s="44">
        <v>83333.333333333343</v>
      </c>
      <c r="E3" s="44">
        <v>800</v>
      </c>
      <c r="F3" s="44">
        <f>(E3/C3)/$E$1</f>
        <v>2.2222222222222223</v>
      </c>
      <c r="G3" s="49"/>
      <c r="H3" s="49">
        <v>1.65</v>
      </c>
    </row>
    <row r="4" spans="2:8" ht="16.5" x14ac:dyDescent="0.45">
      <c r="B4" s="46" t="s">
        <v>131</v>
      </c>
      <c r="C4" s="47">
        <v>0.25</v>
      </c>
      <c r="D4" s="44">
        <v>40000</v>
      </c>
      <c r="E4" s="44">
        <v>800</v>
      </c>
      <c r="F4" s="44">
        <f>(E4/C4)/$E$1</f>
        <v>1.0666666666666667</v>
      </c>
      <c r="G4" s="49">
        <v>1.47</v>
      </c>
    </row>
    <row r="5" spans="2:8" ht="28.5" x14ac:dyDescent="0.45">
      <c r="B5" s="46" t="s">
        <v>132</v>
      </c>
      <c r="C5" s="47">
        <v>0.18</v>
      </c>
      <c r="D5" s="45">
        <v>55555.555555555555</v>
      </c>
      <c r="E5" s="45">
        <v>800</v>
      </c>
      <c r="F5" s="44">
        <f t="shared" ref="F5:F10" si="0">(E5/C5)/$E$1</f>
        <v>1.4814814814814814</v>
      </c>
      <c r="G5" s="49">
        <v>0.84</v>
      </c>
    </row>
    <row r="6" spans="2:8" ht="16.5" x14ac:dyDescent="0.45">
      <c r="B6" s="46" t="s">
        <v>133</v>
      </c>
      <c r="C6" s="47">
        <v>0.65</v>
      </c>
      <c r="D6" s="44">
        <v>15384.615384615385</v>
      </c>
      <c r="E6" s="44">
        <v>800</v>
      </c>
      <c r="F6" s="44">
        <f t="shared" si="0"/>
        <v>0.41025641025641024</v>
      </c>
      <c r="G6" s="49">
        <v>2.1</v>
      </c>
    </row>
    <row r="7" spans="2:8" ht="16.5" x14ac:dyDescent="0.45">
      <c r="B7" s="46" t="s">
        <v>134</v>
      </c>
      <c r="C7" s="47">
        <v>0.6</v>
      </c>
      <c r="D7" s="44">
        <v>16666.666666666668</v>
      </c>
      <c r="E7" s="44">
        <v>800</v>
      </c>
      <c r="F7" s="44">
        <f t="shared" si="0"/>
        <v>0.44444444444444448</v>
      </c>
      <c r="G7" s="49">
        <v>1.62</v>
      </c>
    </row>
    <row r="8" spans="2:8" ht="16.5" x14ac:dyDescent="0.45">
      <c r="B8" s="46" t="s">
        <v>136</v>
      </c>
      <c r="C8" s="47">
        <v>0.18</v>
      </c>
      <c r="D8" s="44">
        <v>55555.555555555555</v>
      </c>
      <c r="E8" s="44">
        <v>800</v>
      </c>
      <c r="F8" s="44">
        <f t="shared" si="0"/>
        <v>1.4814814814814814</v>
      </c>
      <c r="G8" s="49">
        <v>1.56</v>
      </c>
    </row>
    <row r="9" spans="2:8" ht="16.5" x14ac:dyDescent="0.45">
      <c r="B9" s="46" t="s">
        <v>135</v>
      </c>
      <c r="C9" s="47">
        <v>0.12</v>
      </c>
      <c r="D9" s="44">
        <v>83333.333333333343</v>
      </c>
      <c r="E9" s="44">
        <v>800</v>
      </c>
      <c r="F9" s="44">
        <f t="shared" si="0"/>
        <v>2.2222222222222223</v>
      </c>
      <c r="G9" s="49"/>
      <c r="H9" s="49">
        <v>1.44</v>
      </c>
    </row>
    <row r="10" spans="2:8" ht="16.5" x14ac:dyDescent="0.45">
      <c r="B10" s="46" t="s">
        <v>137</v>
      </c>
      <c r="C10" s="47">
        <v>0.84</v>
      </c>
      <c r="D10" s="44">
        <v>11904.761904761905</v>
      </c>
      <c r="E10" s="44">
        <v>10000</v>
      </c>
      <c r="F10" s="44">
        <f t="shared" si="0"/>
        <v>3.9682539682539684</v>
      </c>
      <c r="G10" s="49">
        <v>4.38</v>
      </c>
    </row>
    <row r="11" spans="2:8" ht="14.65" thickBot="1" x14ac:dyDescent="0.5">
      <c r="G11" s="50">
        <f>SUM(G3:G10)</f>
        <v>11.969999999999999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4F91-4AF7-4AFC-AB91-EB7231E5F9E4}">
  <sheetPr codeName="Sheet4"/>
  <dimension ref="A1:I373"/>
  <sheetViews>
    <sheetView topLeftCell="B1" workbookViewId="0">
      <pane ySplit="2" topLeftCell="A5" activePane="bottomLeft" state="frozen"/>
      <selection activeCell="G66" sqref="G66"/>
      <selection pane="bottomLeft" activeCell="G66" sqref="G66"/>
    </sheetView>
  </sheetViews>
  <sheetFormatPr defaultColWidth="9.265625" defaultRowHeight="14.25" x14ac:dyDescent="0.45"/>
  <cols>
    <col min="1" max="1" width="15.73046875" style="38" customWidth="1"/>
    <col min="2" max="2" width="20.73046875" style="38" customWidth="1"/>
    <col min="3" max="3" width="10.59765625" style="38" bestFit="1" customWidth="1"/>
    <col min="4" max="6" width="9.265625" style="38"/>
    <col min="7" max="8" width="9.265625" style="43"/>
    <col min="9" max="9" width="8.265625" style="43" customWidth="1"/>
    <col min="10" max="16384" width="9.265625" style="38"/>
  </cols>
  <sheetData>
    <row r="1" spans="1:9" ht="18" x14ac:dyDescent="0.55000000000000004">
      <c r="A1" s="36" t="s">
        <v>115</v>
      </c>
      <c r="B1" s="37"/>
      <c r="C1" s="37"/>
    </row>
    <row r="2" spans="1:9" ht="14.65" thickBot="1" x14ac:dyDescent="0.5">
      <c r="A2" s="38" t="s">
        <v>116</v>
      </c>
      <c r="B2" s="38" t="s">
        <v>117</v>
      </c>
      <c r="G2" s="43" t="s">
        <v>118</v>
      </c>
      <c r="H2" s="43" t="s">
        <v>119</v>
      </c>
      <c r="I2" s="43" t="s">
        <v>120</v>
      </c>
    </row>
    <row r="3" spans="1:9" ht="14.65" thickBot="1" x14ac:dyDescent="0.5">
      <c r="A3" s="39">
        <v>45474</v>
      </c>
      <c r="B3" s="38">
        <v>266</v>
      </c>
      <c r="C3" s="42">
        <f>WEEKNUM(A3,2)</f>
        <v>27</v>
      </c>
      <c r="D3" s="38" t="str">
        <f>TEXT(A3,"mmm")</f>
        <v>Jul</v>
      </c>
      <c r="G3" s="43">
        <v>27</v>
      </c>
      <c r="H3" s="43">
        <f>SUMIF(C:C,G3,B:B)</f>
        <v>1414</v>
      </c>
      <c r="I3" s="43" t="str">
        <f>VLOOKUP(G3,C:D,2,FALSE)</f>
        <v>Jul</v>
      </c>
    </row>
    <row r="4" spans="1:9" ht="14.65" thickBot="1" x14ac:dyDescent="0.5">
      <c r="A4" s="39">
        <v>45475</v>
      </c>
      <c r="B4" s="38">
        <v>130</v>
      </c>
      <c r="C4" s="42">
        <f t="shared" ref="C4:C67" si="0">WEEKNUM(A4,2)</f>
        <v>27</v>
      </c>
      <c r="D4" s="38" t="str">
        <f t="shared" ref="D4:D67" si="1">TEXT(A4,"mmm")</f>
        <v>Jul</v>
      </c>
      <c r="G4" s="43">
        <v>28</v>
      </c>
      <c r="H4" s="43">
        <f t="shared" ref="H4:H19" si="2">SUMIF(C:C,G4,B:B)</f>
        <v>1791</v>
      </c>
      <c r="I4" s="43" t="str">
        <f t="shared" ref="I4:I19" si="3">VLOOKUP(G4,C:D,2,FALSE)</f>
        <v>Jul</v>
      </c>
    </row>
    <row r="5" spans="1:9" ht="14.65" thickBot="1" x14ac:dyDescent="0.5">
      <c r="A5" s="39">
        <v>45476</v>
      </c>
      <c r="B5" s="38">
        <v>63</v>
      </c>
      <c r="C5" s="42">
        <f t="shared" si="0"/>
        <v>27</v>
      </c>
      <c r="D5" s="38" t="str">
        <f t="shared" si="1"/>
        <v>Jul</v>
      </c>
      <c r="G5" s="43">
        <v>29</v>
      </c>
      <c r="H5" s="43">
        <f t="shared" si="2"/>
        <v>1384</v>
      </c>
      <c r="I5" s="43" t="str">
        <f t="shared" si="3"/>
        <v>Jul</v>
      </c>
    </row>
    <row r="6" spans="1:9" ht="14.65" thickBot="1" x14ac:dyDescent="0.5">
      <c r="A6" s="39">
        <v>45477</v>
      </c>
      <c r="B6" s="38">
        <v>392</v>
      </c>
      <c r="C6" s="42">
        <f t="shared" si="0"/>
        <v>27</v>
      </c>
      <c r="D6" s="38" t="str">
        <f t="shared" si="1"/>
        <v>Jul</v>
      </c>
      <c r="G6" s="43">
        <v>30</v>
      </c>
      <c r="H6" s="43">
        <f t="shared" si="2"/>
        <v>1819</v>
      </c>
      <c r="I6" s="43" t="str">
        <f t="shared" si="3"/>
        <v>Jul</v>
      </c>
    </row>
    <row r="7" spans="1:9" ht="14.65" thickBot="1" x14ac:dyDescent="0.5">
      <c r="A7" s="39">
        <v>45478</v>
      </c>
      <c r="B7" s="38">
        <v>23</v>
      </c>
      <c r="C7" s="42">
        <f t="shared" si="0"/>
        <v>27</v>
      </c>
      <c r="D7" s="38" t="str">
        <f t="shared" si="1"/>
        <v>Jul</v>
      </c>
      <c r="G7" s="43">
        <v>31</v>
      </c>
      <c r="H7" s="43">
        <f t="shared" si="2"/>
        <v>2256</v>
      </c>
      <c r="I7" s="43" t="str">
        <f t="shared" si="3"/>
        <v>Jul</v>
      </c>
    </row>
    <row r="8" spans="1:9" ht="14.65" thickBot="1" x14ac:dyDescent="0.5">
      <c r="A8" s="39">
        <v>45481</v>
      </c>
      <c r="B8" s="38">
        <v>314</v>
      </c>
      <c r="C8" s="42">
        <f t="shared" si="0"/>
        <v>28</v>
      </c>
      <c r="D8" s="38" t="str">
        <f t="shared" si="1"/>
        <v>Jul</v>
      </c>
      <c r="G8" s="43">
        <v>32</v>
      </c>
      <c r="H8" s="43">
        <f t="shared" si="2"/>
        <v>3248</v>
      </c>
      <c r="I8" s="43" t="str">
        <f t="shared" si="3"/>
        <v>Aug</v>
      </c>
    </row>
    <row r="9" spans="1:9" ht="14.65" thickBot="1" x14ac:dyDescent="0.5">
      <c r="A9" s="39">
        <v>45482</v>
      </c>
      <c r="B9" s="38">
        <v>243</v>
      </c>
      <c r="C9" s="42">
        <f t="shared" si="0"/>
        <v>28</v>
      </c>
      <c r="D9" s="38" t="str">
        <f t="shared" si="1"/>
        <v>Jul</v>
      </c>
      <c r="G9" s="43">
        <v>33</v>
      </c>
      <c r="H9" s="43">
        <f t="shared" si="2"/>
        <v>4761</v>
      </c>
      <c r="I9" s="43" t="str">
        <f t="shared" si="3"/>
        <v>Aug</v>
      </c>
    </row>
    <row r="10" spans="1:9" ht="14.65" thickBot="1" x14ac:dyDescent="0.5">
      <c r="A10" s="39">
        <v>45483</v>
      </c>
      <c r="B10" s="38">
        <v>64</v>
      </c>
      <c r="C10" s="42">
        <f t="shared" si="0"/>
        <v>28</v>
      </c>
      <c r="D10" s="38" t="str">
        <f t="shared" si="1"/>
        <v>Jul</v>
      </c>
      <c r="G10" s="43">
        <v>34</v>
      </c>
      <c r="H10" s="43">
        <f t="shared" si="2"/>
        <v>8106</v>
      </c>
      <c r="I10" s="43" t="str">
        <f t="shared" si="3"/>
        <v>Aug</v>
      </c>
    </row>
    <row r="11" spans="1:9" ht="14.65" thickBot="1" x14ac:dyDescent="0.5">
      <c r="A11" s="39">
        <v>45484</v>
      </c>
      <c r="B11" s="38">
        <v>378</v>
      </c>
      <c r="C11" s="42">
        <f t="shared" si="0"/>
        <v>28</v>
      </c>
      <c r="D11" s="38" t="str">
        <f t="shared" si="1"/>
        <v>Jul</v>
      </c>
      <c r="G11" s="43">
        <v>35</v>
      </c>
      <c r="H11" s="43">
        <f t="shared" si="2"/>
        <v>8315</v>
      </c>
      <c r="I11" s="43" t="str">
        <f t="shared" si="3"/>
        <v>Aug</v>
      </c>
    </row>
    <row r="12" spans="1:9" ht="14.65" thickBot="1" x14ac:dyDescent="0.5">
      <c r="A12" s="39">
        <v>45485</v>
      </c>
      <c r="B12" s="38">
        <v>107</v>
      </c>
      <c r="C12" s="42">
        <f t="shared" si="0"/>
        <v>28</v>
      </c>
      <c r="D12" s="38" t="str">
        <f t="shared" si="1"/>
        <v>Jul</v>
      </c>
      <c r="G12" s="43">
        <v>36</v>
      </c>
      <c r="H12" s="43">
        <f t="shared" si="2"/>
        <v>6858</v>
      </c>
      <c r="I12" s="43" t="str">
        <f t="shared" si="3"/>
        <v>Sep</v>
      </c>
    </row>
    <row r="13" spans="1:9" ht="14.65" thickBot="1" x14ac:dyDescent="0.5">
      <c r="A13" s="39">
        <v>45488</v>
      </c>
      <c r="B13" s="38">
        <v>406</v>
      </c>
      <c r="C13" s="42">
        <f t="shared" si="0"/>
        <v>29</v>
      </c>
      <c r="D13" s="38" t="str">
        <f t="shared" si="1"/>
        <v>Jul</v>
      </c>
      <c r="G13" s="43">
        <v>37</v>
      </c>
      <c r="H13" s="43">
        <f t="shared" si="2"/>
        <v>6561</v>
      </c>
      <c r="I13" s="43" t="str">
        <f t="shared" si="3"/>
        <v>Sep</v>
      </c>
    </row>
    <row r="14" spans="1:9" ht="14.65" thickBot="1" x14ac:dyDescent="0.5">
      <c r="A14" s="39">
        <v>45489</v>
      </c>
      <c r="B14" s="38">
        <v>249</v>
      </c>
      <c r="C14" s="42">
        <f t="shared" si="0"/>
        <v>29</v>
      </c>
      <c r="D14" s="38" t="str">
        <f t="shared" si="1"/>
        <v>Jul</v>
      </c>
      <c r="G14" s="43">
        <v>38</v>
      </c>
      <c r="H14" s="43">
        <f t="shared" si="2"/>
        <v>4893</v>
      </c>
      <c r="I14" s="43" t="str">
        <f t="shared" si="3"/>
        <v>Sep</v>
      </c>
    </row>
    <row r="15" spans="1:9" ht="14.65" thickBot="1" x14ac:dyDescent="0.5">
      <c r="A15" s="39">
        <v>45490</v>
      </c>
      <c r="B15" s="38">
        <v>186</v>
      </c>
      <c r="C15" s="42">
        <f t="shared" si="0"/>
        <v>29</v>
      </c>
      <c r="D15" s="38" t="str">
        <f t="shared" si="1"/>
        <v>Jul</v>
      </c>
      <c r="G15" s="43">
        <v>39</v>
      </c>
      <c r="H15" s="43">
        <f t="shared" si="2"/>
        <v>3854</v>
      </c>
      <c r="I15" s="43" t="str">
        <f t="shared" si="3"/>
        <v>Sep</v>
      </c>
    </row>
    <row r="16" spans="1:9" ht="14.65" thickBot="1" x14ac:dyDescent="0.5">
      <c r="A16" s="39">
        <v>45491</v>
      </c>
      <c r="B16" s="38">
        <v>258</v>
      </c>
      <c r="C16" s="42">
        <f t="shared" si="0"/>
        <v>29</v>
      </c>
      <c r="D16" s="38" t="str">
        <f t="shared" si="1"/>
        <v>Jul</v>
      </c>
      <c r="G16" s="43">
        <v>40</v>
      </c>
      <c r="H16" s="43">
        <f t="shared" si="2"/>
        <v>3755</v>
      </c>
      <c r="I16" s="43" t="str">
        <f t="shared" si="3"/>
        <v>Sep</v>
      </c>
    </row>
    <row r="17" spans="1:9" ht="14.65" thickBot="1" x14ac:dyDescent="0.5">
      <c r="A17" s="39">
        <v>45492</v>
      </c>
      <c r="B17" s="38">
        <v>285</v>
      </c>
      <c r="C17" s="42">
        <f t="shared" si="0"/>
        <v>29</v>
      </c>
      <c r="D17" s="38" t="str">
        <f t="shared" si="1"/>
        <v>Jul</v>
      </c>
      <c r="G17" s="43">
        <v>41</v>
      </c>
      <c r="H17" s="43">
        <f t="shared" si="2"/>
        <v>2784</v>
      </c>
      <c r="I17" s="43" t="str">
        <f t="shared" si="3"/>
        <v>Oct</v>
      </c>
    </row>
    <row r="18" spans="1:9" ht="14.65" thickBot="1" x14ac:dyDescent="0.5">
      <c r="A18" s="39">
        <v>45495</v>
      </c>
      <c r="B18" s="38">
        <v>388</v>
      </c>
      <c r="C18" s="42">
        <f t="shared" si="0"/>
        <v>30</v>
      </c>
      <c r="D18" s="38" t="str">
        <f t="shared" si="1"/>
        <v>Jul</v>
      </c>
      <c r="G18" s="43">
        <v>42</v>
      </c>
      <c r="H18" s="43">
        <f t="shared" si="2"/>
        <v>1855</v>
      </c>
      <c r="I18" s="43" t="str">
        <f t="shared" si="3"/>
        <v>Oct</v>
      </c>
    </row>
    <row r="19" spans="1:9" ht="14.65" thickBot="1" x14ac:dyDescent="0.5">
      <c r="A19" s="39">
        <v>45496</v>
      </c>
      <c r="B19" s="38">
        <v>274</v>
      </c>
      <c r="C19" s="42">
        <f t="shared" si="0"/>
        <v>30</v>
      </c>
      <c r="D19" s="38" t="str">
        <f t="shared" si="1"/>
        <v>Jul</v>
      </c>
      <c r="G19" s="43">
        <v>43</v>
      </c>
      <c r="H19" s="43">
        <f t="shared" si="2"/>
        <v>1509</v>
      </c>
      <c r="I19" s="43" t="str">
        <f t="shared" si="3"/>
        <v>Oct</v>
      </c>
    </row>
    <row r="20" spans="1:9" ht="14.65" thickBot="1" x14ac:dyDescent="0.5">
      <c r="A20" s="39">
        <v>45497</v>
      </c>
      <c r="B20" s="38">
        <v>216</v>
      </c>
      <c r="C20" s="42">
        <f t="shared" si="0"/>
        <v>30</v>
      </c>
      <c r="D20" s="38" t="str">
        <f t="shared" si="1"/>
        <v>Jul</v>
      </c>
    </row>
    <row r="21" spans="1:9" ht="14.65" thickBot="1" x14ac:dyDescent="0.5">
      <c r="A21" s="39">
        <v>45498</v>
      </c>
      <c r="B21" s="38">
        <v>594</v>
      </c>
      <c r="C21" s="42">
        <f t="shared" si="0"/>
        <v>30</v>
      </c>
      <c r="D21" s="38" t="str">
        <f t="shared" si="1"/>
        <v>Jul</v>
      </c>
    </row>
    <row r="22" spans="1:9" ht="14.65" thickBot="1" x14ac:dyDescent="0.5">
      <c r="A22" s="39">
        <v>45499</v>
      </c>
      <c r="B22" s="38">
        <v>347</v>
      </c>
      <c r="C22" s="42">
        <f t="shared" si="0"/>
        <v>30</v>
      </c>
      <c r="D22" s="38" t="str">
        <f t="shared" si="1"/>
        <v>Jul</v>
      </c>
    </row>
    <row r="23" spans="1:9" ht="14.65" thickBot="1" x14ac:dyDescent="0.5">
      <c r="A23" s="39">
        <v>45502</v>
      </c>
      <c r="B23" s="38">
        <v>670</v>
      </c>
      <c r="C23" s="42">
        <f t="shared" si="0"/>
        <v>31</v>
      </c>
      <c r="D23" s="38" t="str">
        <f t="shared" si="1"/>
        <v>Jul</v>
      </c>
    </row>
    <row r="24" spans="1:9" ht="14.65" thickBot="1" x14ac:dyDescent="0.5">
      <c r="A24" s="39">
        <v>45503</v>
      </c>
      <c r="B24" s="38">
        <v>368</v>
      </c>
      <c r="C24" s="42">
        <f t="shared" si="0"/>
        <v>31</v>
      </c>
      <c r="D24" s="38" t="str">
        <f t="shared" si="1"/>
        <v>Jul</v>
      </c>
    </row>
    <row r="25" spans="1:9" ht="14.65" thickBot="1" x14ac:dyDescent="0.5">
      <c r="A25" s="39">
        <v>45504</v>
      </c>
      <c r="B25" s="38">
        <v>224</v>
      </c>
      <c r="C25" s="42">
        <f t="shared" si="0"/>
        <v>31</v>
      </c>
      <c r="D25" s="38" t="str">
        <f t="shared" si="1"/>
        <v>Jul</v>
      </c>
    </row>
    <row r="26" spans="1:9" ht="14.65" thickBot="1" x14ac:dyDescent="0.5">
      <c r="A26" s="39">
        <v>45505</v>
      </c>
      <c r="B26" s="38">
        <v>601</v>
      </c>
      <c r="C26" s="42">
        <f t="shared" si="0"/>
        <v>31</v>
      </c>
      <c r="D26" s="38" t="str">
        <f t="shared" si="1"/>
        <v>Aug</v>
      </c>
    </row>
    <row r="27" spans="1:9" ht="14.65" thickBot="1" x14ac:dyDescent="0.5">
      <c r="A27" s="39">
        <v>45506</v>
      </c>
      <c r="B27" s="38">
        <v>393</v>
      </c>
      <c r="C27" s="42">
        <f t="shared" si="0"/>
        <v>31</v>
      </c>
      <c r="D27" s="38" t="str">
        <f t="shared" si="1"/>
        <v>Aug</v>
      </c>
    </row>
    <row r="28" spans="1:9" ht="14.65" thickBot="1" x14ac:dyDescent="0.5">
      <c r="A28" s="39">
        <v>45509</v>
      </c>
      <c r="B28" s="38">
        <v>1047</v>
      </c>
      <c r="C28" s="42">
        <f t="shared" si="0"/>
        <v>32</v>
      </c>
      <c r="D28" s="38" t="str">
        <f t="shared" si="1"/>
        <v>Aug</v>
      </c>
    </row>
    <row r="29" spans="1:9" ht="14.65" thickBot="1" x14ac:dyDescent="0.5">
      <c r="A29" s="39">
        <v>45510</v>
      </c>
      <c r="B29" s="38">
        <v>473</v>
      </c>
      <c r="C29" s="42">
        <f t="shared" si="0"/>
        <v>32</v>
      </c>
      <c r="D29" s="38" t="str">
        <f t="shared" si="1"/>
        <v>Aug</v>
      </c>
    </row>
    <row r="30" spans="1:9" ht="14.65" thickBot="1" x14ac:dyDescent="0.5">
      <c r="A30" s="39">
        <v>45511</v>
      </c>
      <c r="B30" s="38">
        <v>196</v>
      </c>
      <c r="C30" s="42">
        <f t="shared" si="0"/>
        <v>32</v>
      </c>
      <c r="D30" s="38" t="str">
        <f t="shared" si="1"/>
        <v>Aug</v>
      </c>
    </row>
    <row r="31" spans="1:9" ht="14.65" thickBot="1" x14ac:dyDescent="0.5">
      <c r="A31" s="39">
        <v>45512</v>
      </c>
      <c r="B31" s="38">
        <v>983</v>
      </c>
      <c r="C31" s="42">
        <f t="shared" si="0"/>
        <v>32</v>
      </c>
      <c r="D31" s="38" t="str">
        <f t="shared" si="1"/>
        <v>Aug</v>
      </c>
    </row>
    <row r="32" spans="1:9" ht="14.65" thickBot="1" x14ac:dyDescent="0.5">
      <c r="A32" s="39">
        <v>45513</v>
      </c>
      <c r="B32" s="38">
        <v>549</v>
      </c>
      <c r="C32" s="42">
        <f t="shared" si="0"/>
        <v>32</v>
      </c>
      <c r="D32" s="38" t="str">
        <f t="shared" si="1"/>
        <v>Aug</v>
      </c>
    </row>
    <row r="33" spans="1:4" ht="14.65" thickBot="1" x14ac:dyDescent="0.5">
      <c r="A33" s="39">
        <v>45516</v>
      </c>
      <c r="B33" s="38">
        <v>1418</v>
      </c>
      <c r="C33" s="42">
        <f t="shared" si="0"/>
        <v>33</v>
      </c>
      <c r="D33" s="38" t="str">
        <f t="shared" si="1"/>
        <v>Aug</v>
      </c>
    </row>
    <row r="34" spans="1:4" ht="14.65" thickBot="1" x14ac:dyDescent="0.5">
      <c r="A34" s="39">
        <v>45517</v>
      </c>
      <c r="B34" s="38">
        <v>843</v>
      </c>
      <c r="C34" s="42">
        <f t="shared" si="0"/>
        <v>33</v>
      </c>
      <c r="D34" s="38" t="str">
        <f t="shared" si="1"/>
        <v>Aug</v>
      </c>
    </row>
    <row r="35" spans="1:4" ht="14.65" thickBot="1" x14ac:dyDescent="0.5">
      <c r="A35" s="39">
        <v>45518</v>
      </c>
      <c r="B35" s="38">
        <v>477</v>
      </c>
      <c r="C35" s="42">
        <f t="shared" si="0"/>
        <v>33</v>
      </c>
      <c r="D35" s="38" t="str">
        <f t="shared" si="1"/>
        <v>Aug</v>
      </c>
    </row>
    <row r="36" spans="1:4" ht="14.65" thickBot="1" x14ac:dyDescent="0.5">
      <c r="A36" s="39">
        <v>45519</v>
      </c>
      <c r="B36" s="38">
        <v>1265</v>
      </c>
      <c r="C36" s="42">
        <f t="shared" si="0"/>
        <v>33</v>
      </c>
      <c r="D36" s="38" t="str">
        <f t="shared" si="1"/>
        <v>Aug</v>
      </c>
    </row>
    <row r="37" spans="1:4" ht="14.65" thickBot="1" x14ac:dyDescent="0.5">
      <c r="A37" s="39">
        <v>45520</v>
      </c>
      <c r="B37" s="38">
        <v>758</v>
      </c>
      <c r="C37" s="42">
        <f t="shared" si="0"/>
        <v>33</v>
      </c>
      <c r="D37" s="38" t="str">
        <f t="shared" si="1"/>
        <v>Aug</v>
      </c>
    </row>
    <row r="38" spans="1:4" ht="14.65" thickBot="1" x14ac:dyDescent="0.5">
      <c r="A38" s="39">
        <v>45523</v>
      </c>
      <c r="B38" s="38">
        <v>1366</v>
      </c>
      <c r="C38" s="42">
        <f t="shared" si="0"/>
        <v>34</v>
      </c>
      <c r="D38" s="38" t="str">
        <f t="shared" si="1"/>
        <v>Aug</v>
      </c>
    </row>
    <row r="39" spans="1:4" ht="14.65" thickBot="1" x14ac:dyDescent="0.5">
      <c r="A39" s="39">
        <v>45524</v>
      </c>
      <c r="B39" s="38">
        <v>1057</v>
      </c>
      <c r="C39" s="42">
        <f t="shared" si="0"/>
        <v>34</v>
      </c>
      <c r="D39" s="38" t="str">
        <f t="shared" si="1"/>
        <v>Aug</v>
      </c>
    </row>
    <row r="40" spans="1:4" ht="14.65" thickBot="1" x14ac:dyDescent="0.5">
      <c r="A40" s="39">
        <v>45525</v>
      </c>
      <c r="B40" s="38">
        <v>441</v>
      </c>
      <c r="C40" s="42">
        <f t="shared" si="0"/>
        <v>34</v>
      </c>
      <c r="D40" s="38" t="str">
        <f t="shared" si="1"/>
        <v>Aug</v>
      </c>
    </row>
    <row r="41" spans="1:4" ht="14.65" thickBot="1" x14ac:dyDescent="0.5">
      <c r="A41" s="39">
        <v>45526</v>
      </c>
      <c r="B41" s="38">
        <v>1201</v>
      </c>
      <c r="C41" s="42">
        <f t="shared" si="0"/>
        <v>34</v>
      </c>
      <c r="D41" s="38" t="str">
        <f t="shared" si="1"/>
        <v>Aug</v>
      </c>
    </row>
    <row r="42" spans="1:4" ht="14.65" thickBot="1" x14ac:dyDescent="0.5">
      <c r="A42" s="39">
        <v>45527</v>
      </c>
      <c r="B42" s="38">
        <v>773</v>
      </c>
      <c r="C42" s="42">
        <f t="shared" si="0"/>
        <v>34</v>
      </c>
      <c r="D42" s="38" t="str">
        <f t="shared" si="1"/>
        <v>Aug</v>
      </c>
    </row>
    <row r="43" spans="1:4" ht="14.65" thickBot="1" x14ac:dyDescent="0.5">
      <c r="A43" s="39">
        <v>45530</v>
      </c>
      <c r="B43" s="38">
        <v>1494</v>
      </c>
      <c r="C43" s="42">
        <f t="shared" si="0"/>
        <v>35</v>
      </c>
      <c r="D43" s="38" t="str">
        <f t="shared" si="1"/>
        <v>Aug</v>
      </c>
    </row>
    <row r="44" spans="1:4" ht="14.65" thickBot="1" x14ac:dyDescent="0.5">
      <c r="A44" s="39">
        <v>45531</v>
      </c>
      <c r="B44" s="38">
        <v>1008</v>
      </c>
      <c r="C44" s="42">
        <f t="shared" si="0"/>
        <v>35</v>
      </c>
      <c r="D44" s="38" t="str">
        <f t="shared" si="1"/>
        <v>Aug</v>
      </c>
    </row>
    <row r="45" spans="1:4" ht="14.65" thickBot="1" x14ac:dyDescent="0.5">
      <c r="A45" s="39">
        <v>45532</v>
      </c>
      <c r="B45" s="38">
        <v>439</v>
      </c>
      <c r="C45" s="42">
        <f t="shared" si="0"/>
        <v>35</v>
      </c>
      <c r="D45" s="38" t="str">
        <f t="shared" si="1"/>
        <v>Aug</v>
      </c>
    </row>
    <row r="46" spans="1:4" ht="14.65" thickBot="1" x14ac:dyDescent="0.5">
      <c r="A46" s="39">
        <v>45533</v>
      </c>
      <c r="B46" s="38">
        <v>1189</v>
      </c>
      <c r="C46" s="42">
        <f t="shared" si="0"/>
        <v>35</v>
      </c>
      <c r="D46" s="38" t="str">
        <f t="shared" si="1"/>
        <v>Aug</v>
      </c>
    </row>
    <row r="47" spans="1:4" ht="14.65" thickBot="1" x14ac:dyDescent="0.5">
      <c r="A47" s="39">
        <v>45534</v>
      </c>
      <c r="B47" s="38">
        <v>718</v>
      </c>
      <c r="C47" s="42">
        <f t="shared" si="0"/>
        <v>35</v>
      </c>
      <c r="D47" s="38" t="str">
        <f t="shared" si="1"/>
        <v>Aug</v>
      </c>
    </row>
    <row r="48" spans="1:4" ht="14.65" thickBot="1" x14ac:dyDescent="0.5">
      <c r="A48" s="39">
        <v>45537</v>
      </c>
      <c r="B48" s="38">
        <v>1240</v>
      </c>
      <c r="C48" s="42">
        <f t="shared" si="0"/>
        <v>36</v>
      </c>
      <c r="D48" s="38" t="str">
        <f t="shared" si="1"/>
        <v>Sep</v>
      </c>
    </row>
    <row r="49" spans="1:7" ht="14.65" thickBot="1" x14ac:dyDescent="0.5">
      <c r="A49" s="39">
        <v>45538</v>
      </c>
      <c r="B49" s="38">
        <v>649</v>
      </c>
      <c r="C49" s="42">
        <f t="shared" si="0"/>
        <v>36</v>
      </c>
      <c r="D49" s="38" t="str">
        <f t="shared" si="1"/>
        <v>Sep</v>
      </c>
    </row>
    <row r="50" spans="1:7" ht="14.65" thickBot="1" x14ac:dyDescent="0.5">
      <c r="A50" s="39">
        <v>45539</v>
      </c>
      <c r="B50" s="38">
        <v>450</v>
      </c>
      <c r="C50" s="42">
        <f t="shared" si="0"/>
        <v>36</v>
      </c>
      <c r="D50" s="38" t="str">
        <f t="shared" si="1"/>
        <v>Sep</v>
      </c>
    </row>
    <row r="51" spans="1:7" ht="14.65" thickBot="1" x14ac:dyDescent="0.5">
      <c r="A51" s="39">
        <v>45540</v>
      </c>
      <c r="B51" s="38">
        <v>925</v>
      </c>
      <c r="C51" s="42">
        <f t="shared" si="0"/>
        <v>36</v>
      </c>
      <c r="D51" s="38" t="str">
        <f t="shared" si="1"/>
        <v>Sep</v>
      </c>
    </row>
    <row r="52" spans="1:7" ht="14.65" thickBot="1" x14ac:dyDescent="0.5">
      <c r="A52" s="39">
        <v>45541</v>
      </c>
      <c r="B52" s="38">
        <v>627</v>
      </c>
      <c r="C52" s="42">
        <f t="shared" si="0"/>
        <v>36</v>
      </c>
      <c r="D52" s="38" t="str">
        <f t="shared" si="1"/>
        <v>Sep</v>
      </c>
    </row>
    <row r="53" spans="1:7" ht="14.65" thickBot="1" x14ac:dyDescent="0.5">
      <c r="A53" s="39">
        <v>45544</v>
      </c>
      <c r="B53" s="38">
        <v>1193</v>
      </c>
      <c r="C53" s="42">
        <f t="shared" si="0"/>
        <v>37</v>
      </c>
      <c r="D53" s="38" t="str">
        <f t="shared" si="1"/>
        <v>Sep</v>
      </c>
    </row>
    <row r="54" spans="1:7" ht="14.65" thickBot="1" x14ac:dyDescent="0.5">
      <c r="A54" s="39">
        <v>45545</v>
      </c>
      <c r="B54" s="38">
        <v>801</v>
      </c>
      <c r="C54" s="42">
        <f t="shared" si="0"/>
        <v>37</v>
      </c>
      <c r="D54" s="38" t="str">
        <f t="shared" si="1"/>
        <v>Sep</v>
      </c>
      <c r="G54" s="14"/>
    </row>
    <row r="55" spans="1:7" ht="14.65" thickBot="1" x14ac:dyDescent="0.5">
      <c r="A55" s="39">
        <v>45546</v>
      </c>
      <c r="B55" s="38">
        <v>291</v>
      </c>
      <c r="C55" s="42">
        <f t="shared" si="0"/>
        <v>37</v>
      </c>
      <c r="D55" s="38" t="str">
        <f t="shared" si="1"/>
        <v>Sep</v>
      </c>
      <c r="G55" s="14"/>
    </row>
    <row r="56" spans="1:7" ht="14.65" thickBot="1" x14ac:dyDescent="0.5">
      <c r="A56" s="39">
        <v>45547</v>
      </c>
      <c r="B56" s="38">
        <v>840</v>
      </c>
      <c r="C56" s="42">
        <f t="shared" si="0"/>
        <v>37</v>
      </c>
      <c r="D56" s="38" t="str">
        <f t="shared" si="1"/>
        <v>Sep</v>
      </c>
      <c r="G56" s="14"/>
    </row>
    <row r="57" spans="1:7" ht="14.65" thickBot="1" x14ac:dyDescent="0.5">
      <c r="A57" s="39">
        <v>45548</v>
      </c>
      <c r="B57" s="38">
        <v>554</v>
      </c>
      <c r="C57" s="42">
        <f t="shared" si="0"/>
        <v>37</v>
      </c>
      <c r="D57" s="38" t="str">
        <f t="shared" si="1"/>
        <v>Sep</v>
      </c>
      <c r="G57" s="14"/>
    </row>
    <row r="58" spans="1:7" ht="14.65" thickBot="1" x14ac:dyDescent="0.5">
      <c r="A58" s="39">
        <v>45551</v>
      </c>
      <c r="B58" s="38">
        <v>918</v>
      </c>
      <c r="C58" s="42">
        <f t="shared" si="0"/>
        <v>38</v>
      </c>
      <c r="D58" s="38" t="str">
        <f t="shared" si="1"/>
        <v>Sep</v>
      </c>
      <c r="G58" s="14"/>
    </row>
    <row r="59" spans="1:7" ht="14.65" thickBot="1" x14ac:dyDescent="0.5">
      <c r="A59" s="39">
        <v>45552</v>
      </c>
      <c r="B59" s="38">
        <v>584</v>
      </c>
      <c r="C59" s="42">
        <f t="shared" si="0"/>
        <v>38</v>
      </c>
      <c r="D59" s="38" t="str">
        <f t="shared" si="1"/>
        <v>Sep</v>
      </c>
      <c r="G59" s="14"/>
    </row>
    <row r="60" spans="1:7" ht="14.65" thickBot="1" x14ac:dyDescent="0.5">
      <c r="A60" s="39">
        <v>45553</v>
      </c>
      <c r="B60" s="38">
        <v>127</v>
      </c>
      <c r="C60" s="42">
        <f t="shared" si="0"/>
        <v>38</v>
      </c>
      <c r="D60" s="38" t="str">
        <f t="shared" si="1"/>
        <v>Sep</v>
      </c>
      <c r="G60" s="14"/>
    </row>
    <row r="61" spans="1:7" ht="14.65" thickBot="1" x14ac:dyDescent="0.5">
      <c r="A61" s="39">
        <v>45554</v>
      </c>
      <c r="B61" s="38">
        <v>787</v>
      </c>
      <c r="C61" s="42">
        <f t="shared" si="0"/>
        <v>38</v>
      </c>
      <c r="D61" s="38" t="str">
        <f t="shared" si="1"/>
        <v>Sep</v>
      </c>
      <c r="G61" s="14"/>
    </row>
    <row r="62" spans="1:7" ht="14.65" thickBot="1" x14ac:dyDescent="0.5">
      <c r="A62" s="39">
        <v>45555</v>
      </c>
      <c r="B62" s="38">
        <v>402</v>
      </c>
      <c r="C62" s="42">
        <f t="shared" si="0"/>
        <v>38</v>
      </c>
      <c r="D62" s="38" t="str">
        <f t="shared" si="1"/>
        <v>Sep</v>
      </c>
      <c r="G62" s="14"/>
    </row>
    <row r="63" spans="1:7" ht="14.65" thickBot="1" x14ac:dyDescent="0.5">
      <c r="A63" s="39">
        <v>45558</v>
      </c>
      <c r="B63" s="38">
        <v>738</v>
      </c>
      <c r="C63" s="42">
        <f t="shared" si="0"/>
        <v>39</v>
      </c>
      <c r="D63" s="38" t="str">
        <f t="shared" si="1"/>
        <v>Sep</v>
      </c>
      <c r="G63" s="14"/>
    </row>
    <row r="64" spans="1:7" ht="14.65" thickBot="1" x14ac:dyDescent="0.5">
      <c r="A64" s="39">
        <v>45559</v>
      </c>
      <c r="B64" s="38">
        <v>419</v>
      </c>
      <c r="C64" s="42">
        <f t="shared" si="0"/>
        <v>39</v>
      </c>
      <c r="D64" s="38" t="str">
        <f t="shared" si="1"/>
        <v>Sep</v>
      </c>
      <c r="G64" s="14"/>
    </row>
    <row r="65" spans="1:7" ht="14.65" thickBot="1" x14ac:dyDescent="0.5">
      <c r="A65" s="39">
        <v>45560</v>
      </c>
      <c r="B65" s="38">
        <v>124</v>
      </c>
      <c r="C65" s="42">
        <f t="shared" si="0"/>
        <v>39</v>
      </c>
      <c r="D65" s="38" t="str">
        <f t="shared" si="1"/>
        <v>Sep</v>
      </c>
      <c r="G65" s="14"/>
    </row>
    <row r="66" spans="1:7" ht="14.65" thickBot="1" x14ac:dyDescent="0.5">
      <c r="A66" s="39">
        <v>45561</v>
      </c>
      <c r="B66" s="38">
        <v>808</v>
      </c>
      <c r="C66" s="42">
        <f t="shared" si="0"/>
        <v>39</v>
      </c>
      <c r="D66" s="38" t="str">
        <f t="shared" si="1"/>
        <v>Sep</v>
      </c>
      <c r="G66" s="14"/>
    </row>
    <row r="67" spans="1:7" ht="14.65" thickBot="1" x14ac:dyDescent="0.5">
      <c r="A67" s="39">
        <v>45565</v>
      </c>
      <c r="B67" s="38">
        <v>563</v>
      </c>
      <c r="C67" s="42">
        <f t="shared" si="0"/>
        <v>40</v>
      </c>
      <c r="D67" s="38" t="str">
        <f t="shared" si="1"/>
        <v>Sep</v>
      </c>
      <c r="G67" s="14"/>
    </row>
    <row r="68" spans="1:7" ht="14.65" thickBot="1" x14ac:dyDescent="0.5">
      <c r="A68" s="39">
        <v>45566</v>
      </c>
      <c r="B68" s="38">
        <v>680</v>
      </c>
      <c r="C68" s="42">
        <f t="shared" ref="C68:C131" si="4">WEEKNUM(A68,2)</f>
        <v>40</v>
      </c>
      <c r="D68" s="38" t="str">
        <f t="shared" ref="D68:D131" si="5">TEXT(A68,"mmm")</f>
        <v>Oct</v>
      </c>
      <c r="G68" s="14"/>
    </row>
    <row r="69" spans="1:7" ht="14.65" thickBot="1" x14ac:dyDescent="0.5">
      <c r="A69" s="39">
        <v>45567</v>
      </c>
      <c r="B69" s="38">
        <v>198</v>
      </c>
      <c r="C69" s="42">
        <f t="shared" si="4"/>
        <v>40</v>
      </c>
      <c r="D69" s="38" t="str">
        <f t="shared" si="5"/>
        <v>Oct</v>
      </c>
      <c r="G69" s="14"/>
    </row>
    <row r="70" spans="1:7" ht="14.65" thickBot="1" x14ac:dyDescent="0.5">
      <c r="A70" s="39">
        <v>45568</v>
      </c>
      <c r="B70" s="38">
        <v>554</v>
      </c>
      <c r="C70" s="42">
        <f t="shared" si="4"/>
        <v>40</v>
      </c>
      <c r="D70" s="38" t="str">
        <f t="shared" si="5"/>
        <v>Oct</v>
      </c>
      <c r="G70" s="14"/>
    </row>
    <row r="71" spans="1:7" ht="14.65" thickBot="1" x14ac:dyDescent="0.5">
      <c r="A71" s="39">
        <v>45569</v>
      </c>
      <c r="B71" s="38">
        <v>187</v>
      </c>
      <c r="C71" s="42">
        <f t="shared" si="4"/>
        <v>40</v>
      </c>
      <c r="D71" s="38" t="str">
        <f t="shared" si="5"/>
        <v>Oct</v>
      </c>
      <c r="G71" s="14"/>
    </row>
    <row r="72" spans="1:7" ht="14.65" thickBot="1" x14ac:dyDescent="0.5">
      <c r="A72" s="39">
        <v>45572</v>
      </c>
      <c r="B72" s="38">
        <v>216</v>
      </c>
      <c r="C72" s="42">
        <f t="shared" si="4"/>
        <v>41</v>
      </c>
      <c r="D72" s="38" t="str">
        <f t="shared" si="5"/>
        <v>Oct</v>
      </c>
      <c r="G72" s="14"/>
    </row>
    <row r="73" spans="1:7" ht="14.65" thickBot="1" x14ac:dyDescent="0.5">
      <c r="A73" s="39">
        <v>45573</v>
      </c>
      <c r="B73" s="38">
        <v>553</v>
      </c>
      <c r="C73" s="42">
        <f t="shared" si="4"/>
        <v>41</v>
      </c>
      <c r="D73" s="38" t="str">
        <f t="shared" si="5"/>
        <v>Oct</v>
      </c>
      <c r="G73" s="14"/>
    </row>
    <row r="74" spans="1:7" ht="14.65" thickBot="1" x14ac:dyDescent="0.5">
      <c r="A74" s="39">
        <v>45574</v>
      </c>
      <c r="B74" s="38">
        <v>110</v>
      </c>
      <c r="C74" s="42">
        <f t="shared" si="4"/>
        <v>41</v>
      </c>
      <c r="D74" s="38" t="str">
        <f t="shared" si="5"/>
        <v>Oct</v>
      </c>
      <c r="G74" s="14"/>
    </row>
    <row r="75" spans="1:7" ht="14.65" thickBot="1" x14ac:dyDescent="0.5">
      <c r="A75" s="39">
        <v>45575</v>
      </c>
      <c r="B75" s="38">
        <v>493</v>
      </c>
      <c r="C75" s="42">
        <f t="shared" si="4"/>
        <v>41</v>
      </c>
      <c r="D75" s="38" t="str">
        <f t="shared" si="5"/>
        <v>Oct</v>
      </c>
      <c r="G75" s="14"/>
    </row>
    <row r="76" spans="1:7" ht="14.65" thickBot="1" x14ac:dyDescent="0.5">
      <c r="A76" s="39">
        <v>45576</v>
      </c>
      <c r="B76" s="38">
        <v>241</v>
      </c>
      <c r="C76" s="42">
        <f t="shared" si="4"/>
        <v>41</v>
      </c>
      <c r="D76" s="38" t="str">
        <f t="shared" si="5"/>
        <v>Oct</v>
      </c>
      <c r="G76" s="14"/>
    </row>
    <row r="77" spans="1:7" ht="14.65" thickBot="1" x14ac:dyDescent="0.5">
      <c r="A77" s="39">
        <v>45580</v>
      </c>
      <c r="B77" s="38">
        <v>367</v>
      </c>
      <c r="C77" s="42">
        <f t="shared" si="4"/>
        <v>42</v>
      </c>
      <c r="D77" s="38" t="str">
        <f t="shared" si="5"/>
        <v>Oct</v>
      </c>
      <c r="G77" s="14"/>
    </row>
    <row r="78" spans="1:7" ht="14.65" thickBot="1" x14ac:dyDescent="0.5">
      <c r="A78" s="39">
        <v>45581</v>
      </c>
      <c r="B78" s="38">
        <v>65</v>
      </c>
      <c r="C78" s="42">
        <f t="shared" si="4"/>
        <v>42</v>
      </c>
      <c r="D78" s="38" t="str">
        <f t="shared" si="5"/>
        <v>Oct</v>
      </c>
      <c r="G78" s="14"/>
    </row>
    <row r="79" spans="1:7" ht="14.65" thickBot="1" x14ac:dyDescent="0.5">
      <c r="A79" s="39">
        <v>45582</v>
      </c>
      <c r="B79" s="38">
        <v>489</v>
      </c>
      <c r="C79" s="42">
        <f t="shared" si="4"/>
        <v>42</v>
      </c>
      <c r="D79" s="38" t="str">
        <f t="shared" si="5"/>
        <v>Oct</v>
      </c>
      <c r="G79" s="14"/>
    </row>
    <row r="80" spans="1:7" ht="14.65" thickBot="1" x14ac:dyDescent="0.5">
      <c r="A80" s="39">
        <v>45583</v>
      </c>
      <c r="B80" s="38">
        <v>57</v>
      </c>
      <c r="C80" s="42">
        <f t="shared" si="4"/>
        <v>42</v>
      </c>
      <c r="D80" s="38" t="str">
        <f t="shared" si="5"/>
        <v>Oct</v>
      </c>
      <c r="G80" s="14"/>
    </row>
    <row r="81" spans="1:7" ht="14.65" thickBot="1" x14ac:dyDescent="0.5">
      <c r="A81" s="39">
        <v>45587</v>
      </c>
      <c r="B81" s="38">
        <v>344</v>
      </c>
      <c r="C81" s="42">
        <f t="shared" si="4"/>
        <v>43</v>
      </c>
      <c r="D81" s="38" t="str">
        <f t="shared" si="5"/>
        <v>Oct</v>
      </c>
      <c r="G81" s="14"/>
    </row>
    <row r="82" spans="1:7" ht="14.65" thickBot="1" x14ac:dyDescent="0.5">
      <c r="A82" s="39">
        <v>45588</v>
      </c>
      <c r="B82" s="38">
        <v>76</v>
      </c>
      <c r="C82" s="42">
        <f t="shared" si="4"/>
        <v>43</v>
      </c>
      <c r="D82" s="38" t="str">
        <f t="shared" si="5"/>
        <v>Oct</v>
      </c>
      <c r="G82" s="14"/>
    </row>
    <row r="83" spans="1:7" ht="14.65" thickBot="1" x14ac:dyDescent="0.5">
      <c r="A83" s="39">
        <v>45589</v>
      </c>
      <c r="B83" s="38">
        <v>373</v>
      </c>
      <c r="C83" s="42">
        <f t="shared" si="4"/>
        <v>43</v>
      </c>
      <c r="D83" s="38" t="str">
        <f t="shared" si="5"/>
        <v>Oct</v>
      </c>
      <c r="G83" s="14"/>
    </row>
    <row r="84" spans="1:7" ht="14.65" thickBot="1" x14ac:dyDescent="0.5">
      <c r="A84" s="39">
        <v>45590</v>
      </c>
      <c r="B84" s="38">
        <v>43</v>
      </c>
      <c r="C84" s="42">
        <f t="shared" si="4"/>
        <v>43</v>
      </c>
      <c r="D84" s="38" t="str">
        <f t="shared" si="5"/>
        <v>Oct</v>
      </c>
      <c r="G84" s="14"/>
    </row>
    <row r="85" spans="1:7" ht="14.65" thickBot="1" x14ac:dyDescent="0.5">
      <c r="A85" s="39">
        <v>45593</v>
      </c>
      <c r="B85" s="38">
        <v>43</v>
      </c>
      <c r="C85" s="42">
        <f t="shared" si="4"/>
        <v>44</v>
      </c>
      <c r="D85" s="38" t="str">
        <f t="shared" si="5"/>
        <v>Oct</v>
      </c>
      <c r="G85" s="14"/>
    </row>
    <row r="86" spans="1:7" ht="14.65" thickBot="1" x14ac:dyDescent="0.5">
      <c r="A86" s="39">
        <v>45594</v>
      </c>
      <c r="B86" s="38">
        <v>231</v>
      </c>
      <c r="C86" s="42">
        <f t="shared" si="4"/>
        <v>44</v>
      </c>
      <c r="D86" s="38" t="str">
        <f t="shared" si="5"/>
        <v>Oct</v>
      </c>
      <c r="G86" s="14"/>
    </row>
    <row r="87" spans="1:7" ht="14.65" thickBot="1" x14ac:dyDescent="0.5">
      <c r="A87" s="39">
        <v>45595</v>
      </c>
      <c r="B87" s="38">
        <v>62</v>
      </c>
      <c r="C87" s="42">
        <f t="shared" si="4"/>
        <v>44</v>
      </c>
      <c r="D87" s="38" t="str">
        <f t="shared" si="5"/>
        <v>Oct</v>
      </c>
      <c r="G87" s="14"/>
    </row>
    <row r="88" spans="1:7" ht="14.65" thickBot="1" x14ac:dyDescent="0.5">
      <c r="A88" s="39">
        <v>45596</v>
      </c>
      <c r="B88" s="38">
        <v>221</v>
      </c>
      <c r="C88" s="42">
        <f t="shared" si="4"/>
        <v>44</v>
      </c>
      <c r="D88" s="38" t="str">
        <f t="shared" si="5"/>
        <v>Oct</v>
      </c>
      <c r="G88" s="14"/>
    </row>
    <row r="89" spans="1:7" ht="14.65" thickBot="1" x14ac:dyDescent="0.5">
      <c r="A89" s="39">
        <v>45597</v>
      </c>
      <c r="B89" s="38">
        <v>22</v>
      </c>
      <c r="C89" s="42">
        <f t="shared" si="4"/>
        <v>44</v>
      </c>
      <c r="D89" s="38" t="str">
        <f t="shared" si="5"/>
        <v>Nov</v>
      </c>
      <c r="G89" s="14"/>
    </row>
    <row r="90" spans="1:7" ht="14.65" thickBot="1" x14ac:dyDescent="0.5">
      <c r="A90" s="39">
        <v>45602</v>
      </c>
      <c r="B90" s="38">
        <v>126</v>
      </c>
      <c r="C90" s="42">
        <f t="shared" si="4"/>
        <v>45</v>
      </c>
      <c r="D90" s="38" t="str">
        <f t="shared" si="5"/>
        <v>Nov</v>
      </c>
      <c r="G90" s="14"/>
    </row>
    <row r="91" spans="1:7" ht="14.65" thickBot="1" x14ac:dyDescent="0.5">
      <c r="A91" s="39">
        <v>45603</v>
      </c>
      <c r="B91" s="38">
        <v>219</v>
      </c>
      <c r="C91" s="42">
        <f t="shared" si="4"/>
        <v>45</v>
      </c>
      <c r="D91" s="38" t="str">
        <f t="shared" si="5"/>
        <v>Nov</v>
      </c>
      <c r="G91" s="14"/>
    </row>
    <row r="92" spans="1:7" ht="14.65" thickBot="1" x14ac:dyDescent="0.5">
      <c r="A92" s="39">
        <v>45604</v>
      </c>
      <c r="B92" s="38">
        <v>23</v>
      </c>
      <c r="C92" s="42">
        <f t="shared" si="4"/>
        <v>45</v>
      </c>
      <c r="D92" s="38" t="str">
        <f t="shared" si="5"/>
        <v>Nov</v>
      </c>
      <c r="G92" s="14"/>
    </row>
    <row r="93" spans="1:7" ht="14.65" thickBot="1" x14ac:dyDescent="0.5">
      <c r="A93" s="39">
        <v>45608</v>
      </c>
      <c r="B93" s="38">
        <v>118</v>
      </c>
      <c r="C93" s="42">
        <f t="shared" si="4"/>
        <v>46</v>
      </c>
      <c r="D93" s="38" t="str">
        <f t="shared" si="5"/>
        <v>Nov</v>
      </c>
      <c r="G93" s="14"/>
    </row>
    <row r="94" spans="1:7" ht="14.65" thickBot="1" x14ac:dyDescent="0.5">
      <c r="A94" s="39">
        <v>45609</v>
      </c>
      <c r="B94" s="38">
        <v>47</v>
      </c>
      <c r="C94" s="42">
        <f t="shared" si="4"/>
        <v>46</v>
      </c>
      <c r="D94" s="38" t="str">
        <f t="shared" si="5"/>
        <v>Nov</v>
      </c>
      <c r="G94" s="14"/>
    </row>
    <row r="95" spans="1:7" ht="14.65" thickBot="1" x14ac:dyDescent="0.5">
      <c r="A95" s="39">
        <v>45610</v>
      </c>
      <c r="B95" s="38">
        <v>234</v>
      </c>
      <c r="C95" s="42">
        <f t="shared" si="4"/>
        <v>46</v>
      </c>
      <c r="D95" s="38" t="str">
        <f t="shared" si="5"/>
        <v>Nov</v>
      </c>
      <c r="G95" s="14"/>
    </row>
    <row r="96" spans="1:7" ht="14.65" thickBot="1" x14ac:dyDescent="0.5">
      <c r="A96" s="39">
        <v>45614</v>
      </c>
      <c r="B96" s="38">
        <v>48</v>
      </c>
      <c r="C96" s="42">
        <f t="shared" si="4"/>
        <v>47</v>
      </c>
      <c r="D96" s="38" t="str">
        <f t="shared" si="5"/>
        <v>Nov</v>
      </c>
      <c r="G96" s="14"/>
    </row>
    <row r="97" spans="1:7" ht="14.65" thickBot="1" x14ac:dyDescent="0.5">
      <c r="A97" s="39">
        <v>45615</v>
      </c>
      <c r="B97" s="38">
        <v>69</v>
      </c>
      <c r="C97" s="42">
        <f t="shared" si="4"/>
        <v>47</v>
      </c>
      <c r="D97" s="38" t="str">
        <f t="shared" si="5"/>
        <v>Nov</v>
      </c>
      <c r="G97" s="14"/>
    </row>
    <row r="98" spans="1:7" ht="14.65" thickBot="1" x14ac:dyDescent="0.5">
      <c r="A98" s="39">
        <v>45616</v>
      </c>
      <c r="B98" s="38">
        <v>34</v>
      </c>
      <c r="C98" s="42">
        <f t="shared" si="4"/>
        <v>47</v>
      </c>
      <c r="D98" s="38" t="str">
        <f t="shared" si="5"/>
        <v>Nov</v>
      </c>
      <c r="G98" s="14"/>
    </row>
    <row r="99" spans="1:7" ht="14.65" thickBot="1" x14ac:dyDescent="0.5">
      <c r="A99" s="39">
        <v>45617</v>
      </c>
      <c r="B99" s="38">
        <v>134</v>
      </c>
      <c r="C99" s="42">
        <f t="shared" si="4"/>
        <v>47</v>
      </c>
      <c r="D99" s="38" t="str">
        <f t="shared" si="5"/>
        <v>Nov</v>
      </c>
      <c r="G99" s="14"/>
    </row>
    <row r="100" spans="1:7" ht="14.65" thickBot="1" x14ac:dyDescent="0.5">
      <c r="A100" s="39">
        <v>45622</v>
      </c>
      <c r="B100" s="38">
        <v>83</v>
      </c>
      <c r="C100" s="42">
        <f t="shared" si="4"/>
        <v>48</v>
      </c>
      <c r="D100" s="38" t="str">
        <f t="shared" si="5"/>
        <v>Nov</v>
      </c>
      <c r="G100" s="14"/>
    </row>
    <row r="101" spans="1:7" ht="14.65" thickBot="1" x14ac:dyDescent="0.5">
      <c r="A101" s="39">
        <v>45623</v>
      </c>
      <c r="B101" s="38">
        <v>36</v>
      </c>
      <c r="C101" s="42">
        <f t="shared" si="4"/>
        <v>48</v>
      </c>
      <c r="D101" s="38" t="str">
        <f t="shared" si="5"/>
        <v>Nov</v>
      </c>
      <c r="G101" s="14"/>
    </row>
    <row r="102" spans="1:7" ht="14.65" thickBot="1" x14ac:dyDescent="0.5">
      <c r="A102" s="39">
        <v>45624</v>
      </c>
      <c r="B102" s="38">
        <v>72</v>
      </c>
      <c r="C102" s="42">
        <f t="shared" si="4"/>
        <v>48</v>
      </c>
      <c r="D102" s="38" t="str">
        <f t="shared" si="5"/>
        <v>Nov</v>
      </c>
      <c r="G102" s="14"/>
    </row>
    <row r="103" spans="1:7" ht="14.65" thickBot="1" x14ac:dyDescent="0.5">
      <c r="A103" s="39">
        <v>45625</v>
      </c>
      <c r="B103" s="38">
        <v>25</v>
      </c>
      <c r="C103" s="42">
        <f t="shared" si="4"/>
        <v>48</v>
      </c>
      <c r="D103" s="38" t="str">
        <f t="shared" si="5"/>
        <v>Nov</v>
      </c>
      <c r="G103" s="14"/>
    </row>
    <row r="104" spans="1:7" ht="14.65" thickBot="1" x14ac:dyDescent="0.5">
      <c r="A104" s="39">
        <v>45629</v>
      </c>
      <c r="B104" s="38">
        <v>54</v>
      </c>
      <c r="C104" s="42">
        <f t="shared" si="4"/>
        <v>49</v>
      </c>
      <c r="D104" s="38" t="str">
        <f t="shared" si="5"/>
        <v>Dec</v>
      </c>
      <c r="G104" s="14"/>
    </row>
    <row r="105" spans="1:7" ht="14.65" thickBot="1" x14ac:dyDescent="0.5">
      <c r="A105" s="39">
        <v>45630</v>
      </c>
      <c r="B105" s="38">
        <v>22</v>
      </c>
      <c r="C105" s="42">
        <f t="shared" si="4"/>
        <v>49</v>
      </c>
      <c r="D105" s="38" t="str">
        <f t="shared" si="5"/>
        <v>Dec</v>
      </c>
      <c r="G105" s="14"/>
    </row>
    <row r="106" spans="1:7" ht="14.65" thickBot="1" x14ac:dyDescent="0.5">
      <c r="A106" s="39">
        <v>45631</v>
      </c>
      <c r="B106" s="38">
        <v>38</v>
      </c>
      <c r="C106" s="42">
        <f t="shared" si="4"/>
        <v>49</v>
      </c>
      <c r="D106" s="38" t="str">
        <f t="shared" si="5"/>
        <v>Dec</v>
      </c>
      <c r="G106" s="14"/>
    </row>
    <row r="107" spans="1:7" ht="14.65" thickBot="1" x14ac:dyDescent="0.5">
      <c r="A107" s="39">
        <v>45636</v>
      </c>
      <c r="B107" s="38">
        <v>92</v>
      </c>
      <c r="C107" s="42">
        <f t="shared" si="4"/>
        <v>50</v>
      </c>
      <c r="D107" s="38" t="str">
        <f t="shared" si="5"/>
        <v>Dec</v>
      </c>
      <c r="G107" s="14"/>
    </row>
    <row r="108" spans="1:7" ht="14.65" thickBot="1" x14ac:dyDescent="0.5">
      <c r="A108" s="39">
        <v>45637</v>
      </c>
      <c r="B108" s="38">
        <v>30</v>
      </c>
      <c r="C108" s="42">
        <f t="shared" si="4"/>
        <v>50</v>
      </c>
      <c r="D108" s="38" t="str">
        <f t="shared" si="5"/>
        <v>Dec</v>
      </c>
      <c r="G108" s="14"/>
    </row>
    <row r="109" spans="1:7" ht="14.65" thickBot="1" x14ac:dyDescent="0.5">
      <c r="A109" s="39">
        <v>45638</v>
      </c>
      <c r="B109" s="38">
        <v>117</v>
      </c>
      <c r="C109" s="42">
        <f t="shared" si="4"/>
        <v>50</v>
      </c>
      <c r="D109" s="38" t="str">
        <f t="shared" si="5"/>
        <v>Dec</v>
      </c>
      <c r="G109" s="14"/>
    </row>
    <row r="110" spans="1:7" ht="14.65" thickBot="1" x14ac:dyDescent="0.5">
      <c r="A110" s="39">
        <v>45643</v>
      </c>
      <c r="B110" s="38">
        <v>12</v>
      </c>
      <c r="C110" s="42">
        <f t="shared" si="4"/>
        <v>51</v>
      </c>
      <c r="D110" s="38" t="str">
        <f t="shared" si="5"/>
        <v>Dec</v>
      </c>
      <c r="G110" s="14"/>
    </row>
    <row r="111" spans="1:7" ht="14.65" thickBot="1" x14ac:dyDescent="0.5">
      <c r="A111" s="39">
        <v>45644</v>
      </c>
      <c r="B111" s="38">
        <v>7</v>
      </c>
      <c r="C111" s="42">
        <f t="shared" si="4"/>
        <v>51</v>
      </c>
      <c r="D111" s="38" t="str">
        <f t="shared" si="5"/>
        <v>Dec</v>
      </c>
      <c r="G111" s="14"/>
    </row>
    <row r="112" spans="1:7" ht="14.65" thickBot="1" x14ac:dyDescent="0.5">
      <c r="A112" s="39">
        <v>45645</v>
      </c>
      <c r="B112" s="38">
        <v>45</v>
      </c>
      <c r="C112" s="42">
        <f t="shared" si="4"/>
        <v>51</v>
      </c>
      <c r="D112" s="38" t="str">
        <f t="shared" si="5"/>
        <v>Dec</v>
      </c>
      <c r="G112" s="14"/>
    </row>
    <row r="113" spans="1:7" ht="14.65" thickBot="1" x14ac:dyDescent="0.5">
      <c r="A113" s="39">
        <v>45671</v>
      </c>
      <c r="B113" s="38">
        <v>31</v>
      </c>
      <c r="C113" s="42">
        <f t="shared" si="4"/>
        <v>3</v>
      </c>
      <c r="D113" s="38" t="str">
        <f t="shared" si="5"/>
        <v>Jan</v>
      </c>
      <c r="G113" s="14"/>
    </row>
    <row r="114" spans="1:7" ht="14.65" thickBot="1" x14ac:dyDescent="0.5">
      <c r="A114" s="39">
        <v>45672</v>
      </c>
      <c r="B114" s="38">
        <v>17</v>
      </c>
      <c r="C114" s="42">
        <f t="shared" si="4"/>
        <v>3</v>
      </c>
      <c r="D114" s="38" t="str">
        <f t="shared" si="5"/>
        <v>Jan</v>
      </c>
      <c r="G114" s="14"/>
    </row>
    <row r="115" spans="1:7" ht="14.65" thickBot="1" x14ac:dyDescent="0.5">
      <c r="A115" s="39">
        <v>45673</v>
      </c>
      <c r="B115" s="38">
        <v>28</v>
      </c>
      <c r="C115" s="42">
        <f t="shared" si="4"/>
        <v>3</v>
      </c>
      <c r="D115" s="38" t="str">
        <f t="shared" si="5"/>
        <v>Jan</v>
      </c>
      <c r="G115" s="14"/>
    </row>
    <row r="116" spans="1:7" ht="14.65" thickBot="1" x14ac:dyDescent="0.5">
      <c r="A116" s="39">
        <v>45678</v>
      </c>
      <c r="B116" s="38">
        <v>46</v>
      </c>
      <c r="C116" s="42">
        <f t="shared" si="4"/>
        <v>4</v>
      </c>
      <c r="D116" s="38" t="str">
        <f t="shared" si="5"/>
        <v>Jan</v>
      </c>
      <c r="G116" s="14"/>
    </row>
    <row r="117" spans="1:7" ht="14.65" thickBot="1" x14ac:dyDescent="0.5">
      <c r="A117" s="39">
        <v>45680</v>
      </c>
      <c r="B117" s="38">
        <v>19</v>
      </c>
      <c r="C117" s="42">
        <f t="shared" si="4"/>
        <v>4</v>
      </c>
      <c r="D117" s="38" t="str">
        <f t="shared" si="5"/>
        <v>Jan</v>
      </c>
      <c r="G117" s="14"/>
    </row>
    <row r="118" spans="1:7" ht="14.65" thickBot="1" x14ac:dyDescent="0.5">
      <c r="A118" s="39">
        <v>45686</v>
      </c>
      <c r="B118" s="38">
        <v>37</v>
      </c>
      <c r="C118" s="42">
        <f t="shared" si="4"/>
        <v>5</v>
      </c>
      <c r="D118" s="38" t="str">
        <f t="shared" si="5"/>
        <v>Jan</v>
      </c>
      <c r="G118" s="14"/>
    </row>
    <row r="119" spans="1:7" ht="14.65" thickBot="1" x14ac:dyDescent="0.5">
      <c r="A119" s="39">
        <v>45688</v>
      </c>
      <c r="B119" s="38">
        <v>72</v>
      </c>
      <c r="C119" s="42">
        <f t="shared" si="4"/>
        <v>5</v>
      </c>
      <c r="D119" s="38" t="str">
        <f t="shared" si="5"/>
        <v>Jan</v>
      </c>
      <c r="G119" s="14"/>
    </row>
    <row r="120" spans="1:7" ht="14.65" thickBot="1" x14ac:dyDescent="0.5">
      <c r="A120" s="39">
        <v>45692</v>
      </c>
      <c r="B120" s="38">
        <v>66</v>
      </c>
      <c r="C120" s="42">
        <f t="shared" si="4"/>
        <v>6</v>
      </c>
      <c r="D120" s="38" t="str">
        <f t="shared" si="5"/>
        <v>Feb</v>
      </c>
      <c r="G120" s="14"/>
    </row>
    <row r="121" spans="1:7" ht="14.65" thickBot="1" x14ac:dyDescent="0.5">
      <c r="A121" s="39">
        <v>45694</v>
      </c>
      <c r="B121" s="38">
        <v>57</v>
      </c>
      <c r="C121" s="42">
        <f t="shared" si="4"/>
        <v>6</v>
      </c>
      <c r="D121" s="38" t="str">
        <f t="shared" si="5"/>
        <v>Feb</v>
      </c>
      <c r="G121" s="14"/>
    </row>
    <row r="122" spans="1:7" ht="14.65" thickBot="1" x14ac:dyDescent="0.5">
      <c r="A122" s="39">
        <v>45698</v>
      </c>
      <c r="B122" s="38">
        <v>43</v>
      </c>
      <c r="C122" s="42">
        <f t="shared" si="4"/>
        <v>7</v>
      </c>
      <c r="D122" s="38" t="str">
        <f t="shared" si="5"/>
        <v>Feb</v>
      </c>
      <c r="G122" s="14"/>
    </row>
    <row r="123" spans="1:7" ht="14.65" thickBot="1" x14ac:dyDescent="0.5">
      <c r="A123" s="39">
        <v>45699</v>
      </c>
      <c r="B123" s="38">
        <v>117</v>
      </c>
      <c r="C123" s="42">
        <f t="shared" si="4"/>
        <v>7</v>
      </c>
      <c r="D123" s="38" t="str">
        <f t="shared" si="5"/>
        <v>Feb</v>
      </c>
      <c r="G123" s="14"/>
    </row>
    <row r="124" spans="1:7" ht="14.65" thickBot="1" x14ac:dyDescent="0.5">
      <c r="A124" s="39">
        <v>45700</v>
      </c>
      <c r="B124" s="38">
        <v>22</v>
      </c>
      <c r="C124" s="42">
        <f t="shared" si="4"/>
        <v>7</v>
      </c>
      <c r="D124" s="38" t="str">
        <f t="shared" si="5"/>
        <v>Feb</v>
      </c>
      <c r="G124" s="14"/>
    </row>
    <row r="125" spans="1:7" ht="14.65" thickBot="1" x14ac:dyDescent="0.5">
      <c r="A125" s="39">
        <v>45701</v>
      </c>
      <c r="B125" s="38">
        <v>140</v>
      </c>
      <c r="C125" s="42">
        <f t="shared" si="4"/>
        <v>7</v>
      </c>
      <c r="D125" s="38" t="str">
        <f t="shared" si="5"/>
        <v>Feb</v>
      </c>
      <c r="G125" s="14"/>
    </row>
    <row r="126" spans="1:7" ht="14.65" thickBot="1" x14ac:dyDescent="0.5">
      <c r="A126" s="39">
        <v>45702</v>
      </c>
      <c r="B126" s="38">
        <v>43</v>
      </c>
      <c r="C126" s="42">
        <f t="shared" si="4"/>
        <v>7</v>
      </c>
      <c r="D126" s="38" t="str">
        <f t="shared" si="5"/>
        <v>Feb</v>
      </c>
      <c r="G126" s="14"/>
    </row>
    <row r="127" spans="1:7" ht="14.65" thickBot="1" x14ac:dyDescent="0.5">
      <c r="A127" s="39">
        <v>45706</v>
      </c>
      <c r="B127" s="38">
        <v>168</v>
      </c>
      <c r="C127" s="42">
        <f t="shared" si="4"/>
        <v>8</v>
      </c>
      <c r="D127" s="38" t="str">
        <f t="shared" si="5"/>
        <v>Feb</v>
      </c>
      <c r="G127" s="14"/>
    </row>
    <row r="128" spans="1:7" ht="14.65" thickBot="1" x14ac:dyDescent="0.5">
      <c r="A128" s="39">
        <v>45708</v>
      </c>
      <c r="B128" s="38">
        <v>276</v>
      </c>
      <c r="C128" s="42">
        <f t="shared" si="4"/>
        <v>8</v>
      </c>
      <c r="D128" s="38" t="str">
        <f t="shared" si="5"/>
        <v>Feb</v>
      </c>
      <c r="G128" s="14"/>
    </row>
    <row r="129" spans="1:7" ht="14.65" thickBot="1" x14ac:dyDescent="0.5">
      <c r="A129" s="39">
        <v>45709</v>
      </c>
      <c r="B129" s="38">
        <v>30</v>
      </c>
      <c r="C129" s="42">
        <f t="shared" si="4"/>
        <v>8</v>
      </c>
      <c r="D129" s="38" t="str">
        <f t="shared" si="5"/>
        <v>Feb</v>
      </c>
      <c r="G129" s="14"/>
    </row>
    <row r="130" spans="1:7" ht="14.65" thickBot="1" x14ac:dyDescent="0.5">
      <c r="A130" s="39">
        <v>45712</v>
      </c>
      <c r="B130" s="38">
        <v>123</v>
      </c>
      <c r="C130" s="42">
        <f t="shared" si="4"/>
        <v>9</v>
      </c>
      <c r="D130" s="38" t="str">
        <f t="shared" si="5"/>
        <v>Feb</v>
      </c>
      <c r="G130" s="14"/>
    </row>
    <row r="131" spans="1:7" ht="14.65" thickBot="1" x14ac:dyDescent="0.5">
      <c r="A131" s="39">
        <v>45713</v>
      </c>
      <c r="B131" s="38">
        <v>199</v>
      </c>
      <c r="C131" s="42">
        <f t="shared" si="4"/>
        <v>9</v>
      </c>
      <c r="D131" s="38" t="str">
        <f t="shared" si="5"/>
        <v>Feb</v>
      </c>
      <c r="G131" s="14"/>
    </row>
    <row r="132" spans="1:7" ht="14.65" thickBot="1" x14ac:dyDescent="0.5">
      <c r="A132" s="39">
        <v>45714</v>
      </c>
      <c r="B132" s="38">
        <v>46</v>
      </c>
      <c r="C132" s="42">
        <f t="shared" ref="C132:C195" si="6">WEEKNUM(A132,2)</f>
        <v>9</v>
      </c>
      <c r="D132" s="38" t="str">
        <f t="shared" ref="D132:D195" si="7">TEXT(A132,"mmm")</f>
        <v>Feb</v>
      </c>
      <c r="G132" s="14"/>
    </row>
    <row r="133" spans="1:7" ht="14.65" thickBot="1" x14ac:dyDescent="0.5">
      <c r="A133" s="39">
        <v>45715</v>
      </c>
      <c r="B133" s="38">
        <v>303</v>
      </c>
      <c r="C133" s="42">
        <f t="shared" si="6"/>
        <v>9</v>
      </c>
      <c r="D133" s="38" t="str">
        <f t="shared" si="7"/>
        <v>Feb</v>
      </c>
      <c r="G133" s="14"/>
    </row>
    <row r="134" spans="1:7" ht="14.65" thickBot="1" x14ac:dyDescent="0.5">
      <c r="A134" s="39">
        <v>45716</v>
      </c>
      <c r="B134" s="38">
        <v>30</v>
      </c>
      <c r="C134" s="42">
        <f t="shared" si="6"/>
        <v>9</v>
      </c>
      <c r="D134" s="38" t="str">
        <f t="shared" si="7"/>
        <v>Feb</v>
      </c>
      <c r="G134" s="14"/>
    </row>
    <row r="135" spans="1:7" ht="14.65" thickBot="1" x14ac:dyDescent="0.5">
      <c r="A135" s="39">
        <v>45719</v>
      </c>
      <c r="B135" s="38">
        <v>298</v>
      </c>
      <c r="C135" s="42">
        <f t="shared" si="6"/>
        <v>10</v>
      </c>
      <c r="D135" s="38" t="str">
        <f t="shared" si="7"/>
        <v>Mar</v>
      </c>
      <c r="G135" s="14"/>
    </row>
    <row r="136" spans="1:7" ht="14.65" thickBot="1" x14ac:dyDescent="0.5">
      <c r="A136" s="39">
        <v>45720</v>
      </c>
      <c r="B136" s="38">
        <v>55</v>
      </c>
      <c r="C136" s="42">
        <f t="shared" si="6"/>
        <v>10</v>
      </c>
      <c r="D136" s="38" t="str">
        <f t="shared" si="7"/>
        <v>Mar</v>
      </c>
      <c r="G136" s="14"/>
    </row>
    <row r="137" spans="1:7" ht="14.65" thickBot="1" x14ac:dyDescent="0.5">
      <c r="A137" s="39">
        <v>45721</v>
      </c>
      <c r="B137" s="38">
        <v>101</v>
      </c>
      <c r="C137" s="42">
        <f t="shared" si="6"/>
        <v>10</v>
      </c>
      <c r="D137" s="38" t="str">
        <f t="shared" si="7"/>
        <v>Mar</v>
      </c>
      <c r="G137" s="14"/>
    </row>
    <row r="138" spans="1:7" ht="14.65" thickBot="1" x14ac:dyDescent="0.5">
      <c r="A138" s="39">
        <v>45722</v>
      </c>
      <c r="B138" s="38">
        <v>520</v>
      </c>
      <c r="C138" s="42">
        <f t="shared" si="6"/>
        <v>10</v>
      </c>
      <c r="D138" s="38" t="str">
        <f t="shared" si="7"/>
        <v>Mar</v>
      </c>
      <c r="G138" s="14"/>
    </row>
    <row r="139" spans="1:7" ht="14.65" thickBot="1" x14ac:dyDescent="0.5">
      <c r="A139" s="39">
        <v>45723</v>
      </c>
      <c r="B139" s="38">
        <v>91</v>
      </c>
      <c r="C139" s="42">
        <f t="shared" si="6"/>
        <v>10</v>
      </c>
      <c r="D139" s="38" t="str">
        <f t="shared" si="7"/>
        <v>Mar</v>
      </c>
      <c r="G139" s="14"/>
    </row>
    <row r="140" spans="1:7" ht="14.65" thickBot="1" x14ac:dyDescent="0.5">
      <c r="A140" s="39">
        <v>45727</v>
      </c>
      <c r="B140" s="38">
        <v>440</v>
      </c>
      <c r="C140" s="42">
        <f t="shared" si="6"/>
        <v>11</v>
      </c>
      <c r="D140" s="38" t="str">
        <f t="shared" si="7"/>
        <v>Mar</v>
      </c>
      <c r="G140" s="14"/>
    </row>
    <row r="141" spans="1:7" ht="14.65" thickBot="1" x14ac:dyDescent="0.5">
      <c r="A141" s="39">
        <v>45728</v>
      </c>
      <c r="B141" s="38">
        <v>107</v>
      </c>
      <c r="C141" s="42">
        <f t="shared" si="6"/>
        <v>11</v>
      </c>
      <c r="D141" s="38" t="str">
        <f t="shared" si="7"/>
        <v>Mar</v>
      </c>
      <c r="G141" s="14"/>
    </row>
    <row r="142" spans="1:7" ht="14.65" thickBot="1" x14ac:dyDescent="0.5">
      <c r="A142" s="39">
        <v>45729</v>
      </c>
      <c r="B142" s="38">
        <v>655</v>
      </c>
      <c r="C142" s="42">
        <f t="shared" si="6"/>
        <v>11</v>
      </c>
      <c r="D142" s="38" t="str">
        <f t="shared" si="7"/>
        <v>Mar</v>
      </c>
      <c r="G142" s="14"/>
    </row>
    <row r="143" spans="1:7" ht="14.65" thickBot="1" x14ac:dyDescent="0.5">
      <c r="A143" s="39">
        <v>45730</v>
      </c>
      <c r="B143" s="38">
        <v>189</v>
      </c>
      <c r="C143" s="42">
        <f t="shared" si="6"/>
        <v>11</v>
      </c>
      <c r="D143" s="38" t="str">
        <f t="shared" si="7"/>
        <v>Mar</v>
      </c>
      <c r="G143" s="14"/>
    </row>
    <row r="144" spans="1:7" ht="14.65" thickBot="1" x14ac:dyDescent="0.5">
      <c r="A144" s="39">
        <v>45733</v>
      </c>
      <c r="B144" s="38">
        <v>523</v>
      </c>
      <c r="C144" s="42">
        <f t="shared" si="6"/>
        <v>12</v>
      </c>
      <c r="D144" s="38" t="str">
        <f t="shared" si="7"/>
        <v>Mar</v>
      </c>
      <c r="G144" s="14"/>
    </row>
    <row r="145" spans="1:7" ht="14.65" thickBot="1" x14ac:dyDescent="0.5">
      <c r="A145" s="39">
        <v>45734</v>
      </c>
      <c r="B145" s="38">
        <v>133</v>
      </c>
      <c r="C145" s="42">
        <f t="shared" si="6"/>
        <v>12</v>
      </c>
      <c r="D145" s="38" t="str">
        <f t="shared" si="7"/>
        <v>Mar</v>
      </c>
      <c r="G145" s="14"/>
    </row>
    <row r="146" spans="1:7" ht="14.65" thickBot="1" x14ac:dyDescent="0.5">
      <c r="A146" s="39">
        <v>45735</v>
      </c>
      <c r="B146" s="38">
        <v>138</v>
      </c>
      <c r="C146" s="42">
        <f t="shared" si="6"/>
        <v>12</v>
      </c>
      <c r="D146" s="38" t="str">
        <f t="shared" si="7"/>
        <v>Mar</v>
      </c>
      <c r="G146" s="14"/>
    </row>
    <row r="147" spans="1:7" ht="14.65" thickBot="1" x14ac:dyDescent="0.5">
      <c r="A147" s="39">
        <v>45736</v>
      </c>
      <c r="B147" s="38">
        <v>583</v>
      </c>
      <c r="C147" s="42">
        <f t="shared" si="6"/>
        <v>12</v>
      </c>
      <c r="D147" s="38" t="str">
        <f t="shared" si="7"/>
        <v>Mar</v>
      </c>
      <c r="G147" s="14"/>
    </row>
    <row r="148" spans="1:7" ht="14.65" thickBot="1" x14ac:dyDescent="0.5">
      <c r="A148" s="39">
        <v>45737</v>
      </c>
      <c r="B148" s="38">
        <v>155</v>
      </c>
      <c r="C148" s="42">
        <f t="shared" si="6"/>
        <v>12</v>
      </c>
      <c r="D148" s="38" t="str">
        <f t="shared" si="7"/>
        <v>Mar</v>
      </c>
      <c r="G148" s="14"/>
    </row>
    <row r="149" spans="1:7" ht="14.65" thickBot="1" x14ac:dyDescent="0.5">
      <c r="A149" s="39">
        <v>45740</v>
      </c>
      <c r="B149" s="38">
        <v>463</v>
      </c>
      <c r="C149" s="42">
        <f t="shared" si="6"/>
        <v>13</v>
      </c>
      <c r="D149" s="38" t="str">
        <f t="shared" si="7"/>
        <v>Mar</v>
      </c>
      <c r="G149" s="14"/>
    </row>
    <row r="150" spans="1:7" ht="14.65" thickBot="1" x14ac:dyDescent="0.5">
      <c r="A150" s="39">
        <v>45741</v>
      </c>
      <c r="B150" s="38">
        <v>181</v>
      </c>
      <c r="C150" s="42">
        <f t="shared" si="6"/>
        <v>13</v>
      </c>
      <c r="D150" s="38" t="str">
        <f t="shared" si="7"/>
        <v>Mar</v>
      </c>
      <c r="G150" s="14"/>
    </row>
    <row r="151" spans="1:7" ht="14.65" thickBot="1" x14ac:dyDescent="0.5">
      <c r="A151" s="39">
        <v>45742</v>
      </c>
      <c r="B151" s="38">
        <v>103</v>
      </c>
      <c r="C151" s="42">
        <f t="shared" si="6"/>
        <v>13</v>
      </c>
      <c r="D151" s="38" t="str">
        <f t="shared" si="7"/>
        <v>Mar</v>
      </c>
      <c r="G151" s="14"/>
    </row>
    <row r="152" spans="1:7" ht="14.65" thickBot="1" x14ac:dyDescent="0.5">
      <c r="A152" s="39">
        <v>45743</v>
      </c>
      <c r="B152" s="38">
        <v>565</v>
      </c>
      <c r="C152" s="42">
        <f t="shared" si="6"/>
        <v>13</v>
      </c>
      <c r="D152" s="38" t="str">
        <f t="shared" si="7"/>
        <v>Mar</v>
      </c>
      <c r="G152" s="14"/>
    </row>
    <row r="153" spans="1:7" ht="14.65" thickBot="1" x14ac:dyDescent="0.5">
      <c r="A153" s="39">
        <v>45744</v>
      </c>
      <c r="B153" s="38">
        <v>175</v>
      </c>
      <c r="C153" s="42">
        <f t="shared" si="6"/>
        <v>13</v>
      </c>
      <c r="D153" s="38" t="str">
        <f t="shared" si="7"/>
        <v>Mar</v>
      </c>
      <c r="G153" s="14"/>
    </row>
    <row r="154" spans="1:7" ht="14.65" thickBot="1" x14ac:dyDescent="0.5">
      <c r="A154" s="39">
        <v>45747</v>
      </c>
      <c r="B154" s="38">
        <v>470</v>
      </c>
      <c r="C154" s="42">
        <f t="shared" si="6"/>
        <v>14</v>
      </c>
      <c r="D154" s="38" t="str">
        <f t="shared" si="7"/>
        <v>Mar</v>
      </c>
      <c r="G154" s="14"/>
    </row>
    <row r="155" spans="1:7" ht="14.65" thickBot="1" x14ac:dyDescent="0.5">
      <c r="A155" s="39">
        <v>45748</v>
      </c>
      <c r="B155" s="38">
        <v>190</v>
      </c>
      <c r="C155" s="42">
        <f t="shared" si="6"/>
        <v>14</v>
      </c>
      <c r="D155" s="38" t="str">
        <f t="shared" si="7"/>
        <v>Apr</v>
      </c>
      <c r="G155" s="14"/>
    </row>
    <row r="156" spans="1:7" ht="14.65" thickBot="1" x14ac:dyDescent="0.5">
      <c r="A156" s="39">
        <v>45749</v>
      </c>
      <c r="B156" s="38">
        <v>113</v>
      </c>
      <c r="C156" s="42">
        <f t="shared" si="6"/>
        <v>14</v>
      </c>
      <c r="D156" s="38" t="str">
        <f t="shared" si="7"/>
        <v>Apr</v>
      </c>
      <c r="G156" s="14"/>
    </row>
    <row r="157" spans="1:7" ht="14.65" thickBot="1" x14ac:dyDescent="0.5">
      <c r="A157" s="39">
        <v>45750</v>
      </c>
      <c r="B157" s="38">
        <v>507</v>
      </c>
      <c r="C157" s="42">
        <f t="shared" si="6"/>
        <v>14</v>
      </c>
      <c r="D157" s="38" t="str">
        <f t="shared" si="7"/>
        <v>Apr</v>
      </c>
      <c r="G157" s="14"/>
    </row>
    <row r="158" spans="1:7" ht="14.65" thickBot="1" x14ac:dyDescent="0.5">
      <c r="A158" s="39">
        <v>45751</v>
      </c>
      <c r="B158" s="38">
        <v>136</v>
      </c>
      <c r="C158" s="42">
        <f t="shared" si="6"/>
        <v>14</v>
      </c>
      <c r="D158" s="38" t="str">
        <f t="shared" si="7"/>
        <v>Apr</v>
      </c>
      <c r="G158" s="14"/>
    </row>
    <row r="159" spans="1:7" ht="14.65" thickBot="1" x14ac:dyDescent="0.5">
      <c r="A159" s="39">
        <v>45754</v>
      </c>
      <c r="B159" s="38">
        <v>306</v>
      </c>
      <c r="C159" s="42">
        <f t="shared" si="6"/>
        <v>15</v>
      </c>
      <c r="D159" s="38" t="str">
        <f t="shared" si="7"/>
        <v>Apr</v>
      </c>
      <c r="G159" s="14"/>
    </row>
    <row r="160" spans="1:7" ht="14.65" thickBot="1" x14ac:dyDescent="0.5">
      <c r="A160" s="39">
        <v>45755</v>
      </c>
      <c r="B160" s="38">
        <v>311</v>
      </c>
      <c r="C160" s="42">
        <f t="shared" si="6"/>
        <v>15</v>
      </c>
      <c r="D160" s="38" t="str">
        <f t="shared" si="7"/>
        <v>Apr</v>
      </c>
      <c r="G160" s="14"/>
    </row>
    <row r="161" spans="1:7" ht="14.65" thickBot="1" x14ac:dyDescent="0.5">
      <c r="A161" s="39">
        <v>45756</v>
      </c>
      <c r="B161" s="38">
        <v>95</v>
      </c>
      <c r="C161" s="42">
        <f t="shared" si="6"/>
        <v>15</v>
      </c>
      <c r="D161" s="38" t="str">
        <f t="shared" si="7"/>
        <v>Apr</v>
      </c>
      <c r="G161" s="14"/>
    </row>
    <row r="162" spans="1:7" ht="14.65" thickBot="1" x14ac:dyDescent="0.5">
      <c r="A162" s="39">
        <v>45757</v>
      </c>
      <c r="B162" s="38">
        <v>371</v>
      </c>
      <c r="C162" s="42">
        <f t="shared" si="6"/>
        <v>15</v>
      </c>
      <c r="D162" s="38" t="str">
        <f t="shared" si="7"/>
        <v>Apr</v>
      </c>
      <c r="G162" s="14"/>
    </row>
    <row r="163" spans="1:7" ht="14.65" thickBot="1" x14ac:dyDescent="0.5">
      <c r="A163" s="39">
        <v>45758</v>
      </c>
      <c r="B163" s="38">
        <v>107</v>
      </c>
      <c r="C163" s="42">
        <f t="shared" si="6"/>
        <v>15</v>
      </c>
      <c r="D163" s="38" t="str">
        <f t="shared" si="7"/>
        <v>Apr</v>
      </c>
      <c r="G163" s="14"/>
    </row>
    <row r="164" spans="1:7" ht="14.65" thickBot="1" x14ac:dyDescent="0.5">
      <c r="A164" s="39">
        <v>45761</v>
      </c>
      <c r="B164" s="38">
        <v>98</v>
      </c>
      <c r="C164" s="42">
        <f t="shared" si="6"/>
        <v>16</v>
      </c>
      <c r="D164" s="38" t="str">
        <f t="shared" si="7"/>
        <v>Apr</v>
      </c>
      <c r="G164" s="14"/>
    </row>
    <row r="165" spans="1:7" ht="14.65" thickBot="1" x14ac:dyDescent="0.5">
      <c r="A165" s="39">
        <v>45762</v>
      </c>
      <c r="B165" s="38">
        <v>230</v>
      </c>
      <c r="C165" s="42">
        <f t="shared" si="6"/>
        <v>16</v>
      </c>
      <c r="D165" s="38" t="str">
        <f t="shared" si="7"/>
        <v>Apr</v>
      </c>
      <c r="G165" s="14"/>
    </row>
    <row r="166" spans="1:7" ht="14.65" thickBot="1" x14ac:dyDescent="0.5">
      <c r="A166" s="39">
        <v>45763</v>
      </c>
      <c r="B166" s="38">
        <v>524</v>
      </c>
      <c r="C166" s="42">
        <f t="shared" si="6"/>
        <v>16</v>
      </c>
      <c r="D166" s="38" t="str">
        <f t="shared" si="7"/>
        <v>Apr</v>
      </c>
      <c r="G166" s="14"/>
    </row>
    <row r="167" spans="1:7" ht="14.65" thickBot="1" x14ac:dyDescent="0.5">
      <c r="A167" s="39">
        <v>45769</v>
      </c>
      <c r="B167" s="38">
        <v>366</v>
      </c>
      <c r="C167" s="42">
        <f t="shared" si="6"/>
        <v>17</v>
      </c>
      <c r="D167" s="38" t="str">
        <f t="shared" si="7"/>
        <v>Apr</v>
      </c>
      <c r="G167" s="14"/>
    </row>
    <row r="168" spans="1:7" ht="14.65" thickBot="1" x14ac:dyDescent="0.5">
      <c r="A168" s="39">
        <v>45770</v>
      </c>
      <c r="B168" s="38">
        <v>192</v>
      </c>
      <c r="C168" s="42">
        <f t="shared" si="6"/>
        <v>17</v>
      </c>
      <c r="D168" s="38" t="str">
        <f t="shared" si="7"/>
        <v>Apr</v>
      </c>
      <c r="G168" s="14"/>
    </row>
    <row r="169" spans="1:7" ht="14.65" thickBot="1" x14ac:dyDescent="0.5">
      <c r="A169" s="39">
        <v>45771</v>
      </c>
      <c r="B169" s="38">
        <v>398</v>
      </c>
      <c r="C169" s="42">
        <f t="shared" si="6"/>
        <v>17</v>
      </c>
      <c r="D169" s="38" t="str">
        <f t="shared" si="7"/>
        <v>Apr</v>
      </c>
      <c r="G169" s="14"/>
    </row>
    <row r="170" spans="1:7" ht="14.65" thickBot="1" x14ac:dyDescent="0.5">
      <c r="A170" s="39">
        <v>45775</v>
      </c>
      <c r="B170" s="38">
        <v>88</v>
      </c>
      <c r="C170" s="42">
        <f t="shared" si="6"/>
        <v>18</v>
      </c>
      <c r="D170" s="38" t="str">
        <f t="shared" si="7"/>
        <v>Apr</v>
      </c>
      <c r="G170" s="14"/>
    </row>
    <row r="171" spans="1:7" ht="14.65" thickBot="1" x14ac:dyDescent="0.5">
      <c r="A171" s="39">
        <v>45776</v>
      </c>
      <c r="B171" s="38">
        <v>273</v>
      </c>
      <c r="C171" s="42">
        <f t="shared" si="6"/>
        <v>18</v>
      </c>
      <c r="D171" s="38" t="str">
        <f t="shared" si="7"/>
        <v>Apr</v>
      </c>
      <c r="G171" s="14"/>
    </row>
    <row r="172" spans="1:7" ht="14.65" thickBot="1" x14ac:dyDescent="0.5">
      <c r="A172" s="39">
        <v>45777</v>
      </c>
      <c r="B172" s="38">
        <v>115</v>
      </c>
      <c r="C172" s="42">
        <f t="shared" si="6"/>
        <v>18</v>
      </c>
      <c r="D172" s="38" t="str">
        <f t="shared" si="7"/>
        <v>Apr</v>
      </c>
      <c r="G172" s="14"/>
    </row>
    <row r="173" spans="1:7" ht="14.65" thickBot="1" x14ac:dyDescent="0.5">
      <c r="A173" s="39">
        <v>45778</v>
      </c>
      <c r="B173" s="38">
        <v>336</v>
      </c>
      <c r="C173" s="42">
        <f t="shared" si="6"/>
        <v>18</v>
      </c>
      <c r="D173" s="38" t="str">
        <f t="shared" si="7"/>
        <v>May</v>
      </c>
      <c r="G173" s="14"/>
    </row>
    <row r="174" spans="1:7" ht="14.65" thickBot="1" x14ac:dyDescent="0.5">
      <c r="A174" s="39">
        <v>45782</v>
      </c>
      <c r="B174" s="38">
        <v>94</v>
      </c>
      <c r="C174" s="42">
        <f t="shared" si="6"/>
        <v>19</v>
      </c>
      <c r="D174" s="38" t="str">
        <f t="shared" si="7"/>
        <v>May</v>
      </c>
      <c r="G174" s="14"/>
    </row>
    <row r="175" spans="1:7" ht="14.65" thickBot="1" x14ac:dyDescent="0.5">
      <c r="A175" s="39">
        <v>45783</v>
      </c>
      <c r="B175" s="38">
        <v>267</v>
      </c>
      <c r="C175" s="42">
        <f t="shared" si="6"/>
        <v>19</v>
      </c>
      <c r="D175" s="38" t="str">
        <f t="shared" si="7"/>
        <v>May</v>
      </c>
      <c r="G175" s="14"/>
    </row>
    <row r="176" spans="1:7" ht="14.65" thickBot="1" x14ac:dyDescent="0.5">
      <c r="A176" s="39">
        <v>45784</v>
      </c>
      <c r="B176" s="38">
        <v>64</v>
      </c>
      <c r="C176" s="42">
        <f t="shared" si="6"/>
        <v>19</v>
      </c>
      <c r="D176" s="38" t="str">
        <f t="shared" si="7"/>
        <v>May</v>
      </c>
      <c r="G176" s="14"/>
    </row>
    <row r="177" spans="1:7" ht="14.65" thickBot="1" x14ac:dyDescent="0.5">
      <c r="A177" s="39">
        <v>45785</v>
      </c>
      <c r="B177" s="38">
        <v>283</v>
      </c>
      <c r="C177" s="42">
        <f t="shared" si="6"/>
        <v>19</v>
      </c>
      <c r="D177" s="38" t="str">
        <f t="shared" si="7"/>
        <v>May</v>
      </c>
      <c r="G177" s="14"/>
    </row>
    <row r="178" spans="1:7" ht="14.65" thickBot="1" x14ac:dyDescent="0.5">
      <c r="A178" s="39">
        <v>45786</v>
      </c>
      <c r="B178" s="38">
        <v>47</v>
      </c>
      <c r="C178" s="42">
        <f t="shared" si="6"/>
        <v>19</v>
      </c>
      <c r="D178" s="38" t="str">
        <f t="shared" si="7"/>
        <v>May</v>
      </c>
      <c r="G178" s="14"/>
    </row>
    <row r="179" spans="1:7" ht="14.65" thickBot="1" x14ac:dyDescent="0.5">
      <c r="A179" s="39">
        <v>45789</v>
      </c>
      <c r="B179" s="38">
        <v>69</v>
      </c>
      <c r="C179" s="42">
        <f t="shared" si="6"/>
        <v>20</v>
      </c>
      <c r="D179" s="38" t="str">
        <f t="shared" si="7"/>
        <v>May</v>
      </c>
      <c r="G179" s="14"/>
    </row>
    <row r="180" spans="1:7" ht="14.65" thickBot="1" x14ac:dyDescent="0.5">
      <c r="A180" s="39">
        <v>45790</v>
      </c>
      <c r="B180" s="38">
        <v>287</v>
      </c>
      <c r="C180" s="42">
        <f t="shared" si="6"/>
        <v>20</v>
      </c>
      <c r="D180" s="38" t="str">
        <f t="shared" si="7"/>
        <v>May</v>
      </c>
      <c r="G180" s="14"/>
    </row>
    <row r="181" spans="1:7" ht="14.65" thickBot="1" x14ac:dyDescent="0.5">
      <c r="A181" s="39">
        <v>45791</v>
      </c>
      <c r="B181" s="38">
        <v>80</v>
      </c>
      <c r="C181" s="42">
        <f t="shared" si="6"/>
        <v>20</v>
      </c>
      <c r="D181" s="38" t="str">
        <f t="shared" si="7"/>
        <v>May</v>
      </c>
      <c r="G181" s="14"/>
    </row>
    <row r="182" spans="1:7" ht="14.65" thickBot="1" x14ac:dyDescent="0.5">
      <c r="A182" s="39">
        <v>45792</v>
      </c>
      <c r="B182" s="38">
        <v>155</v>
      </c>
      <c r="C182" s="42">
        <f t="shared" si="6"/>
        <v>20</v>
      </c>
      <c r="D182" s="38" t="str">
        <f t="shared" si="7"/>
        <v>May</v>
      </c>
      <c r="G182" s="14"/>
    </row>
    <row r="183" spans="1:7" ht="14.65" thickBot="1" x14ac:dyDescent="0.5">
      <c r="A183" s="39">
        <v>45793</v>
      </c>
      <c r="B183" s="38">
        <v>126</v>
      </c>
      <c r="C183" s="42">
        <f t="shared" si="6"/>
        <v>20</v>
      </c>
      <c r="D183" s="38" t="str">
        <f t="shared" si="7"/>
        <v>May</v>
      </c>
      <c r="G183" s="14"/>
    </row>
    <row r="184" spans="1:7" ht="14.65" thickBot="1" x14ac:dyDescent="0.5">
      <c r="A184" s="39">
        <v>45796</v>
      </c>
      <c r="B184" s="38">
        <v>122</v>
      </c>
      <c r="C184" s="42">
        <f t="shared" si="6"/>
        <v>21</v>
      </c>
      <c r="D184" s="38" t="str">
        <f t="shared" si="7"/>
        <v>May</v>
      </c>
      <c r="G184" s="14"/>
    </row>
    <row r="185" spans="1:7" ht="14.65" thickBot="1" x14ac:dyDescent="0.5">
      <c r="A185" s="39">
        <v>45797</v>
      </c>
      <c r="B185" s="38">
        <v>260</v>
      </c>
      <c r="C185" s="42">
        <f t="shared" si="6"/>
        <v>21</v>
      </c>
      <c r="D185" s="38" t="str">
        <f t="shared" si="7"/>
        <v>May</v>
      </c>
      <c r="G185" s="14"/>
    </row>
    <row r="186" spans="1:7" ht="14.65" thickBot="1" x14ac:dyDescent="0.5">
      <c r="A186" s="39">
        <v>45798</v>
      </c>
      <c r="B186" s="38">
        <v>12</v>
      </c>
      <c r="C186" s="42">
        <f t="shared" si="6"/>
        <v>21</v>
      </c>
      <c r="D186" s="38" t="str">
        <f t="shared" si="7"/>
        <v>May</v>
      </c>
      <c r="G186" s="14"/>
    </row>
    <row r="187" spans="1:7" ht="14.65" thickBot="1" x14ac:dyDescent="0.5">
      <c r="A187" s="39">
        <v>45799</v>
      </c>
      <c r="B187" s="38">
        <v>244</v>
      </c>
      <c r="C187" s="42">
        <f t="shared" si="6"/>
        <v>21</v>
      </c>
      <c r="D187" s="38" t="str">
        <f t="shared" si="7"/>
        <v>May</v>
      </c>
      <c r="G187" s="14"/>
    </row>
    <row r="188" spans="1:7" ht="14.65" thickBot="1" x14ac:dyDescent="0.5">
      <c r="A188" s="39">
        <v>45803</v>
      </c>
      <c r="B188" s="38">
        <v>118</v>
      </c>
      <c r="C188" s="42">
        <f t="shared" si="6"/>
        <v>22</v>
      </c>
      <c r="D188" s="38" t="str">
        <f t="shared" si="7"/>
        <v>May</v>
      </c>
      <c r="G188" s="14"/>
    </row>
    <row r="189" spans="1:7" ht="14.65" thickBot="1" x14ac:dyDescent="0.5">
      <c r="A189" s="39">
        <v>45804</v>
      </c>
      <c r="B189" s="38">
        <v>244</v>
      </c>
      <c r="C189" s="42">
        <f t="shared" si="6"/>
        <v>22</v>
      </c>
      <c r="D189" s="38" t="str">
        <f t="shared" si="7"/>
        <v>May</v>
      </c>
      <c r="G189" s="14"/>
    </row>
    <row r="190" spans="1:7" ht="14.65" thickBot="1" x14ac:dyDescent="0.5">
      <c r="A190" s="39">
        <v>45805</v>
      </c>
      <c r="B190" s="38">
        <v>69</v>
      </c>
      <c r="C190" s="42">
        <f t="shared" si="6"/>
        <v>22</v>
      </c>
      <c r="D190" s="38" t="str">
        <f t="shared" si="7"/>
        <v>May</v>
      </c>
      <c r="G190" s="14"/>
    </row>
    <row r="191" spans="1:7" ht="14.65" thickBot="1" x14ac:dyDescent="0.5">
      <c r="A191" s="39">
        <v>45806</v>
      </c>
      <c r="B191" s="38">
        <v>246</v>
      </c>
      <c r="C191" s="42">
        <f t="shared" si="6"/>
        <v>22</v>
      </c>
      <c r="D191" s="38" t="str">
        <f t="shared" si="7"/>
        <v>May</v>
      </c>
      <c r="G191" s="14"/>
    </row>
    <row r="192" spans="1:7" ht="14.65" thickBot="1" x14ac:dyDescent="0.5">
      <c r="A192" s="39">
        <v>45811</v>
      </c>
      <c r="B192" s="38">
        <v>392</v>
      </c>
      <c r="C192" s="42">
        <f t="shared" si="6"/>
        <v>23</v>
      </c>
      <c r="D192" s="38" t="str">
        <f t="shared" si="7"/>
        <v>Jun</v>
      </c>
      <c r="G192" s="14"/>
    </row>
    <row r="193" spans="1:7" ht="14.65" thickBot="1" x14ac:dyDescent="0.5">
      <c r="A193" s="39">
        <v>45812</v>
      </c>
      <c r="B193" s="38">
        <v>60</v>
      </c>
      <c r="C193" s="42">
        <f t="shared" si="6"/>
        <v>23</v>
      </c>
      <c r="D193" s="38" t="str">
        <f t="shared" si="7"/>
        <v>Jun</v>
      </c>
      <c r="G193" s="14"/>
    </row>
    <row r="194" spans="1:7" ht="14.65" thickBot="1" x14ac:dyDescent="0.5">
      <c r="A194" s="39">
        <v>45813</v>
      </c>
      <c r="B194" s="38">
        <v>222</v>
      </c>
      <c r="C194" s="42">
        <f t="shared" si="6"/>
        <v>23</v>
      </c>
      <c r="D194" s="38" t="str">
        <f t="shared" si="7"/>
        <v>Jun</v>
      </c>
      <c r="G194" s="14"/>
    </row>
    <row r="195" spans="1:7" ht="14.65" thickBot="1" x14ac:dyDescent="0.5">
      <c r="A195" s="39">
        <v>45818</v>
      </c>
      <c r="B195" s="38">
        <v>284</v>
      </c>
      <c r="C195" s="42">
        <f t="shared" si="6"/>
        <v>24</v>
      </c>
      <c r="D195" s="38" t="str">
        <f t="shared" si="7"/>
        <v>Jun</v>
      </c>
      <c r="G195" s="14"/>
    </row>
    <row r="196" spans="1:7" ht="14.65" thickBot="1" x14ac:dyDescent="0.5">
      <c r="A196" s="39">
        <v>45819</v>
      </c>
      <c r="B196" s="38">
        <v>141</v>
      </c>
      <c r="C196" s="42">
        <f t="shared" ref="C196:C259" si="8">WEEKNUM(A196,2)</f>
        <v>24</v>
      </c>
      <c r="D196" s="38" t="str">
        <f t="shared" ref="D196:D259" si="9">TEXT(A196,"mmm")</f>
        <v>Jun</v>
      </c>
      <c r="G196" s="14"/>
    </row>
    <row r="197" spans="1:7" ht="14.65" thickBot="1" x14ac:dyDescent="0.5">
      <c r="A197" s="39">
        <v>45820</v>
      </c>
      <c r="B197" s="38">
        <v>241</v>
      </c>
      <c r="C197" s="42">
        <f t="shared" si="8"/>
        <v>24</v>
      </c>
      <c r="D197" s="38" t="str">
        <f t="shared" si="9"/>
        <v>Jun</v>
      </c>
      <c r="G197" s="14"/>
    </row>
    <row r="198" spans="1:7" ht="14.65" thickBot="1" x14ac:dyDescent="0.5">
      <c r="A198" s="39">
        <v>45825</v>
      </c>
      <c r="B198" s="38">
        <v>353</v>
      </c>
      <c r="C198" s="42">
        <f t="shared" si="8"/>
        <v>25</v>
      </c>
      <c r="D198" s="38" t="str">
        <f t="shared" si="9"/>
        <v>Jun</v>
      </c>
      <c r="G198" s="14"/>
    </row>
    <row r="199" spans="1:7" ht="14.65" thickBot="1" x14ac:dyDescent="0.5">
      <c r="A199" s="39">
        <v>45826</v>
      </c>
      <c r="B199" s="38">
        <v>44</v>
      </c>
      <c r="C199" s="42">
        <f t="shared" si="8"/>
        <v>25</v>
      </c>
      <c r="D199" s="38" t="str">
        <f t="shared" si="9"/>
        <v>Jun</v>
      </c>
      <c r="G199" s="14"/>
    </row>
    <row r="200" spans="1:7" ht="14.65" thickBot="1" x14ac:dyDescent="0.5">
      <c r="A200" s="39">
        <v>45827</v>
      </c>
      <c r="B200" s="38">
        <v>156</v>
      </c>
      <c r="C200" s="42">
        <f t="shared" si="8"/>
        <v>25</v>
      </c>
      <c r="D200" s="38" t="str">
        <f t="shared" si="9"/>
        <v>Jun</v>
      </c>
      <c r="G200" s="14"/>
    </row>
    <row r="201" spans="1:7" ht="14.65" thickBot="1" x14ac:dyDescent="0.5">
      <c r="A201" s="39">
        <v>45832</v>
      </c>
      <c r="B201" s="38">
        <v>366</v>
      </c>
      <c r="C201" s="42">
        <f t="shared" si="8"/>
        <v>26</v>
      </c>
      <c r="D201" s="38" t="str">
        <f t="shared" si="9"/>
        <v>Jun</v>
      </c>
      <c r="G201" s="14"/>
    </row>
    <row r="202" spans="1:7" ht="14.65" thickBot="1" x14ac:dyDescent="0.5">
      <c r="A202" s="39">
        <v>45833</v>
      </c>
      <c r="B202" s="38">
        <v>93</v>
      </c>
      <c r="C202" s="42">
        <f t="shared" si="8"/>
        <v>26</v>
      </c>
      <c r="D202" s="38" t="str">
        <f t="shared" si="9"/>
        <v>Jun</v>
      </c>
      <c r="G202" s="14"/>
    </row>
    <row r="203" spans="1:7" ht="14.65" thickBot="1" x14ac:dyDescent="0.5">
      <c r="A203" s="39">
        <v>45834</v>
      </c>
      <c r="B203" s="38">
        <v>108</v>
      </c>
      <c r="C203" s="42">
        <f t="shared" si="8"/>
        <v>26</v>
      </c>
      <c r="D203" s="38" t="str">
        <f t="shared" si="9"/>
        <v>Jun</v>
      </c>
      <c r="G203" s="14"/>
    </row>
    <row r="204" spans="1:7" ht="14.65" thickBot="1" x14ac:dyDescent="0.5">
      <c r="A204" s="39">
        <v>45839</v>
      </c>
      <c r="B204" s="38">
        <v>377</v>
      </c>
      <c r="C204" s="42">
        <f t="shared" si="8"/>
        <v>27</v>
      </c>
      <c r="D204" s="38" t="str">
        <f t="shared" si="9"/>
        <v>Jul</v>
      </c>
      <c r="G204" s="14"/>
    </row>
    <row r="205" spans="1:7" ht="14.65" thickBot="1" x14ac:dyDescent="0.5">
      <c r="A205" s="39">
        <v>45840</v>
      </c>
      <c r="B205" s="38">
        <v>59</v>
      </c>
      <c r="C205" s="42">
        <f t="shared" si="8"/>
        <v>27</v>
      </c>
      <c r="D205" s="38" t="str">
        <f t="shared" si="9"/>
        <v>Jul</v>
      </c>
      <c r="G205" s="14"/>
    </row>
    <row r="206" spans="1:7" ht="14.65" thickBot="1" x14ac:dyDescent="0.5">
      <c r="A206" s="39">
        <v>45841</v>
      </c>
      <c r="B206" s="38">
        <v>104</v>
      </c>
      <c r="C206" s="42">
        <f t="shared" si="8"/>
        <v>27</v>
      </c>
      <c r="D206" s="38" t="str">
        <f t="shared" si="9"/>
        <v>Jul</v>
      </c>
      <c r="G206" s="14"/>
    </row>
    <row r="207" spans="1:7" ht="14.65" thickBot="1" x14ac:dyDescent="0.5">
      <c r="A207" s="39">
        <v>45846</v>
      </c>
      <c r="B207" s="38">
        <v>479</v>
      </c>
      <c r="C207" s="42">
        <f t="shared" si="8"/>
        <v>28</v>
      </c>
      <c r="D207" s="38" t="str">
        <f t="shared" si="9"/>
        <v>Jul</v>
      </c>
      <c r="G207" s="14"/>
    </row>
    <row r="208" spans="1:7" ht="14.65" thickBot="1" x14ac:dyDescent="0.5">
      <c r="A208" s="39">
        <v>45847</v>
      </c>
      <c r="B208" s="38">
        <v>104</v>
      </c>
      <c r="C208" s="42">
        <f t="shared" si="8"/>
        <v>28</v>
      </c>
      <c r="D208" s="38" t="str">
        <f t="shared" si="9"/>
        <v>Jul</v>
      </c>
      <c r="G208" s="14"/>
    </row>
    <row r="209" spans="1:7" ht="14.65" thickBot="1" x14ac:dyDescent="0.5">
      <c r="A209" s="40">
        <v>45848</v>
      </c>
      <c r="B209" s="41">
        <v>102</v>
      </c>
      <c r="C209" s="42">
        <f t="shared" si="8"/>
        <v>28</v>
      </c>
      <c r="D209" s="38" t="str">
        <f t="shared" si="9"/>
        <v>Jul</v>
      </c>
      <c r="G209" s="14"/>
    </row>
    <row r="210" spans="1:7" ht="14.65" thickBot="1" x14ac:dyDescent="0.5">
      <c r="A210" s="40">
        <v>45887</v>
      </c>
      <c r="B210" s="41">
        <v>1158</v>
      </c>
      <c r="C210" s="42">
        <f t="shared" si="8"/>
        <v>34</v>
      </c>
      <c r="D210" s="38" t="str">
        <f t="shared" si="9"/>
        <v>Aug</v>
      </c>
      <c r="G210" s="14"/>
    </row>
    <row r="211" spans="1:7" ht="14.65" thickBot="1" x14ac:dyDescent="0.5">
      <c r="A211" s="39">
        <v>45888</v>
      </c>
      <c r="B211" s="38">
        <v>1216</v>
      </c>
      <c r="C211" s="42">
        <f t="shared" si="8"/>
        <v>34</v>
      </c>
      <c r="D211" s="38" t="str">
        <f t="shared" si="9"/>
        <v>Aug</v>
      </c>
      <c r="G211" s="14"/>
    </row>
    <row r="212" spans="1:7" ht="14.65" thickBot="1" x14ac:dyDescent="0.5">
      <c r="A212" s="39">
        <v>45890</v>
      </c>
      <c r="B212" s="38">
        <v>894</v>
      </c>
      <c r="C212" s="42">
        <f t="shared" si="8"/>
        <v>34</v>
      </c>
      <c r="D212" s="38" t="str">
        <f t="shared" si="9"/>
        <v>Aug</v>
      </c>
      <c r="G212" s="14"/>
    </row>
    <row r="213" spans="1:7" ht="14.65" thickBot="1" x14ac:dyDescent="0.5">
      <c r="A213" s="39">
        <v>45894</v>
      </c>
      <c r="B213" s="38">
        <v>1069</v>
      </c>
      <c r="C213" s="42">
        <f t="shared" si="8"/>
        <v>35</v>
      </c>
      <c r="D213" s="38" t="str">
        <f t="shared" si="9"/>
        <v>Aug</v>
      </c>
      <c r="G213" s="14"/>
    </row>
    <row r="214" spans="1:7" ht="14.65" thickBot="1" x14ac:dyDescent="0.5">
      <c r="A214" s="39">
        <v>45895</v>
      </c>
      <c r="B214" s="38">
        <v>1334</v>
      </c>
      <c r="C214" s="42">
        <f t="shared" si="8"/>
        <v>35</v>
      </c>
      <c r="D214" s="38" t="str">
        <f t="shared" si="9"/>
        <v>Aug</v>
      </c>
      <c r="G214" s="14"/>
    </row>
    <row r="215" spans="1:7" ht="14.65" thickBot="1" x14ac:dyDescent="0.5">
      <c r="A215" s="39">
        <v>45897</v>
      </c>
      <c r="B215" s="38">
        <v>1064</v>
      </c>
      <c r="C215" s="42">
        <f t="shared" si="8"/>
        <v>35</v>
      </c>
      <c r="D215" s="38" t="str">
        <f t="shared" si="9"/>
        <v>Aug</v>
      </c>
      <c r="G215" s="14"/>
    </row>
    <row r="216" spans="1:7" ht="14.65" thickBot="1" x14ac:dyDescent="0.5">
      <c r="A216" s="39">
        <v>45901</v>
      </c>
      <c r="B216" s="38">
        <v>866</v>
      </c>
      <c r="C216" s="42">
        <f t="shared" si="8"/>
        <v>36</v>
      </c>
      <c r="D216" s="38" t="str">
        <f t="shared" si="9"/>
        <v>Sep</v>
      </c>
      <c r="G216" s="14"/>
    </row>
    <row r="217" spans="1:7" ht="14.65" thickBot="1" x14ac:dyDescent="0.5">
      <c r="A217" s="39">
        <v>45902</v>
      </c>
      <c r="B217" s="38">
        <v>884</v>
      </c>
      <c r="C217" s="42">
        <f t="shared" si="8"/>
        <v>36</v>
      </c>
      <c r="D217" s="38" t="str">
        <f t="shared" si="9"/>
        <v>Sep</v>
      </c>
      <c r="G217" s="14"/>
    </row>
    <row r="218" spans="1:7" ht="14.65" thickBot="1" x14ac:dyDescent="0.5">
      <c r="A218" s="39">
        <v>45904</v>
      </c>
      <c r="B218" s="38">
        <v>785</v>
      </c>
      <c r="C218" s="42">
        <f t="shared" si="8"/>
        <v>36</v>
      </c>
      <c r="D218" s="38" t="str">
        <f t="shared" si="9"/>
        <v>Sep</v>
      </c>
      <c r="G218" s="14"/>
    </row>
    <row r="219" spans="1:7" ht="14.65" thickBot="1" x14ac:dyDescent="0.5">
      <c r="A219" s="39">
        <v>45905</v>
      </c>
      <c r="B219" s="38">
        <v>432</v>
      </c>
      <c r="C219" s="42">
        <f t="shared" si="8"/>
        <v>36</v>
      </c>
      <c r="D219" s="38" t="str">
        <f t="shared" si="9"/>
        <v>Sep</v>
      </c>
      <c r="G219" s="14"/>
    </row>
    <row r="220" spans="1:7" ht="14.65" thickBot="1" x14ac:dyDescent="0.5">
      <c r="A220" s="39">
        <v>45908</v>
      </c>
      <c r="B220" s="38">
        <v>739</v>
      </c>
      <c r="C220" s="42">
        <f t="shared" si="8"/>
        <v>37</v>
      </c>
      <c r="D220" s="38" t="str">
        <f t="shared" si="9"/>
        <v>Sep</v>
      </c>
      <c r="G220" s="14"/>
    </row>
    <row r="221" spans="1:7" ht="14.65" thickBot="1" x14ac:dyDescent="0.5">
      <c r="A221" s="39">
        <v>45909</v>
      </c>
      <c r="B221" s="38">
        <v>997</v>
      </c>
      <c r="C221" s="42">
        <f t="shared" si="8"/>
        <v>37</v>
      </c>
      <c r="D221" s="38" t="str">
        <f t="shared" si="9"/>
        <v>Sep</v>
      </c>
      <c r="G221" s="14"/>
    </row>
    <row r="222" spans="1:7" ht="14.65" thickBot="1" x14ac:dyDescent="0.5">
      <c r="A222" s="39">
        <v>45911</v>
      </c>
      <c r="B222" s="38">
        <v>743</v>
      </c>
      <c r="C222" s="42">
        <f t="shared" si="8"/>
        <v>37</v>
      </c>
      <c r="D222" s="38" t="str">
        <f t="shared" si="9"/>
        <v>Sep</v>
      </c>
      <c r="G222" s="14"/>
    </row>
    <row r="223" spans="1:7" ht="14.65" thickBot="1" x14ac:dyDescent="0.5">
      <c r="A223" s="39">
        <v>45912</v>
      </c>
      <c r="B223" s="38">
        <v>403</v>
      </c>
      <c r="C223" s="42">
        <f t="shared" si="8"/>
        <v>37</v>
      </c>
      <c r="D223" s="38" t="str">
        <f t="shared" si="9"/>
        <v>Sep</v>
      </c>
      <c r="G223" s="14"/>
    </row>
    <row r="224" spans="1:7" ht="14.65" thickBot="1" x14ac:dyDescent="0.5">
      <c r="A224" s="39">
        <v>45915</v>
      </c>
      <c r="B224" s="38">
        <v>567</v>
      </c>
      <c r="C224" s="42">
        <f t="shared" si="8"/>
        <v>38</v>
      </c>
      <c r="D224" s="38" t="str">
        <f t="shared" si="9"/>
        <v>Sep</v>
      </c>
      <c r="G224" s="14"/>
    </row>
    <row r="225" spans="1:7" ht="14.65" thickBot="1" x14ac:dyDescent="0.5">
      <c r="A225" s="39">
        <v>45916</v>
      </c>
      <c r="B225" s="38">
        <v>714</v>
      </c>
      <c r="C225" s="42">
        <f t="shared" si="8"/>
        <v>38</v>
      </c>
      <c r="D225" s="38" t="str">
        <f t="shared" si="9"/>
        <v>Sep</v>
      </c>
      <c r="G225" s="14"/>
    </row>
    <row r="226" spans="1:7" ht="14.65" thickBot="1" x14ac:dyDescent="0.5">
      <c r="A226" s="39">
        <v>45917</v>
      </c>
      <c r="B226" s="38">
        <v>288</v>
      </c>
      <c r="C226" s="42">
        <f t="shared" si="8"/>
        <v>38</v>
      </c>
      <c r="D226" s="38" t="str">
        <f t="shared" si="9"/>
        <v>Sep</v>
      </c>
      <c r="G226" s="14"/>
    </row>
    <row r="227" spans="1:7" ht="14.65" thickBot="1" x14ac:dyDescent="0.5">
      <c r="A227" s="39">
        <v>45918</v>
      </c>
      <c r="B227" s="38">
        <v>506</v>
      </c>
      <c r="C227" s="42">
        <f t="shared" si="8"/>
        <v>38</v>
      </c>
      <c r="D227" s="38" t="str">
        <f t="shared" si="9"/>
        <v>Sep</v>
      </c>
      <c r="G227" s="14"/>
    </row>
    <row r="228" spans="1:7" ht="14.65" thickBot="1" x14ac:dyDescent="0.5">
      <c r="A228" s="39">
        <v>45922</v>
      </c>
      <c r="B228" s="38">
        <v>575</v>
      </c>
      <c r="C228" s="42">
        <f t="shared" si="8"/>
        <v>39</v>
      </c>
      <c r="D228" s="38" t="str">
        <f t="shared" si="9"/>
        <v>Sep</v>
      </c>
      <c r="G228" s="14"/>
    </row>
    <row r="229" spans="1:7" ht="14.65" thickBot="1" x14ac:dyDescent="0.5">
      <c r="A229" s="39">
        <v>45923</v>
      </c>
      <c r="B229" s="38">
        <v>451</v>
      </c>
      <c r="C229" s="42">
        <f t="shared" si="8"/>
        <v>39</v>
      </c>
      <c r="D229" s="38" t="str">
        <f t="shared" si="9"/>
        <v>Sep</v>
      </c>
      <c r="G229" s="14"/>
    </row>
    <row r="230" spans="1:7" ht="14.65" thickBot="1" x14ac:dyDescent="0.5">
      <c r="A230" s="39">
        <v>45924</v>
      </c>
      <c r="B230" s="38">
        <v>74</v>
      </c>
      <c r="C230" s="42">
        <f t="shared" si="8"/>
        <v>39</v>
      </c>
      <c r="D230" s="38" t="str">
        <f t="shared" si="9"/>
        <v>Sep</v>
      </c>
      <c r="G230" s="14"/>
    </row>
    <row r="231" spans="1:7" ht="14.65" thickBot="1" x14ac:dyDescent="0.5">
      <c r="A231" s="39">
        <v>45925</v>
      </c>
      <c r="B231" s="38">
        <v>665</v>
      </c>
      <c r="C231" s="42">
        <f t="shared" si="8"/>
        <v>39</v>
      </c>
      <c r="D231" s="38" t="str">
        <f t="shared" si="9"/>
        <v>Sep</v>
      </c>
      <c r="G231" s="14"/>
    </row>
    <row r="232" spans="1:7" ht="14.65" thickBot="1" x14ac:dyDescent="0.5">
      <c r="A232" s="39">
        <v>45929</v>
      </c>
      <c r="B232" s="38">
        <v>179</v>
      </c>
      <c r="C232" s="42">
        <f t="shared" si="8"/>
        <v>40</v>
      </c>
      <c r="D232" s="38" t="str">
        <f t="shared" si="9"/>
        <v>Sep</v>
      </c>
      <c r="G232" s="14"/>
    </row>
    <row r="233" spans="1:7" ht="14.65" thickBot="1" x14ac:dyDescent="0.5">
      <c r="A233" s="39">
        <v>45930</v>
      </c>
      <c r="B233" s="38">
        <v>791</v>
      </c>
      <c r="C233" s="42">
        <f t="shared" si="8"/>
        <v>40</v>
      </c>
      <c r="D233" s="38" t="str">
        <f t="shared" si="9"/>
        <v>Sep</v>
      </c>
      <c r="G233" s="14"/>
    </row>
    <row r="234" spans="1:7" ht="14.65" thickBot="1" x14ac:dyDescent="0.5">
      <c r="A234" s="39">
        <v>45931</v>
      </c>
      <c r="B234" s="38">
        <v>58</v>
      </c>
      <c r="C234" s="42">
        <f t="shared" si="8"/>
        <v>40</v>
      </c>
      <c r="D234" s="38" t="str">
        <f t="shared" si="9"/>
        <v>Oct</v>
      </c>
      <c r="G234" s="14"/>
    </row>
    <row r="235" spans="1:7" ht="14.65" thickBot="1" x14ac:dyDescent="0.5">
      <c r="A235" s="39">
        <v>45932</v>
      </c>
      <c r="B235" s="38">
        <v>545</v>
      </c>
      <c r="C235" s="42">
        <f t="shared" si="8"/>
        <v>40</v>
      </c>
      <c r="D235" s="38" t="str">
        <f t="shared" si="9"/>
        <v>Oct</v>
      </c>
      <c r="G235" s="14"/>
    </row>
    <row r="236" spans="1:7" ht="14.65" thickBot="1" x14ac:dyDescent="0.5">
      <c r="A236" s="39">
        <v>45936</v>
      </c>
      <c r="B236" s="38">
        <v>101</v>
      </c>
      <c r="C236" s="42">
        <f t="shared" si="8"/>
        <v>41</v>
      </c>
      <c r="D236" s="38" t="str">
        <f t="shared" si="9"/>
        <v>Oct</v>
      </c>
      <c r="G236" s="14"/>
    </row>
    <row r="237" spans="1:7" ht="14.65" thickBot="1" x14ac:dyDescent="0.5">
      <c r="A237" s="39">
        <v>45937</v>
      </c>
      <c r="B237" s="38">
        <v>529</v>
      </c>
      <c r="C237" s="42">
        <f t="shared" si="8"/>
        <v>41</v>
      </c>
      <c r="D237" s="38" t="str">
        <f t="shared" si="9"/>
        <v>Oct</v>
      </c>
      <c r="G237" s="14"/>
    </row>
    <row r="238" spans="1:7" ht="14.65" thickBot="1" x14ac:dyDescent="0.5">
      <c r="A238" s="39">
        <v>45938</v>
      </c>
      <c r="B238" s="38">
        <v>37</v>
      </c>
      <c r="C238" s="42">
        <f t="shared" si="8"/>
        <v>41</v>
      </c>
      <c r="D238" s="38" t="str">
        <f t="shared" si="9"/>
        <v>Oct</v>
      </c>
      <c r="G238" s="14"/>
    </row>
    <row r="239" spans="1:7" ht="14.65" thickBot="1" x14ac:dyDescent="0.5">
      <c r="A239" s="39">
        <v>45939</v>
      </c>
      <c r="B239" s="38">
        <v>504</v>
      </c>
      <c r="C239" s="42">
        <f t="shared" si="8"/>
        <v>41</v>
      </c>
      <c r="D239" s="38" t="str">
        <f t="shared" si="9"/>
        <v>Oct</v>
      </c>
      <c r="G239" s="14"/>
    </row>
    <row r="240" spans="1:7" ht="14.65" thickBot="1" x14ac:dyDescent="0.5">
      <c r="A240" s="39">
        <v>45943</v>
      </c>
      <c r="B240" s="38">
        <v>56</v>
      </c>
      <c r="C240" s="42">
        <f t="shared" si="8"/>
        <v>42</v>
      </c>
      <c r="D240" s="38" t="str">
        <f t="shared" si="9"/>
        <v>Oct</v>
      </c>
      <c r="G240" s="14"/>
    </row>
    <row r="241" spans="1:7" ht="14.65" thickBot="1" x14ac:dyDescent="0.5">
      <c r="A241" s="39">
        <v>45944</v>
      </c>
      <c r="B241" s="38">
        <v>345</v>
      </c>
      <c r="C241" s="42">
        <f t="shared" si="8"/>
        <v>42</v>
      </c>
      <c r="D241" s="38" t="str">
        <f t="shared" si="9"/>
        <v>Oct</v>
      </c>
      <c r="G241" s="14"/>
    </row>
    <row r="242" spans="1:7" ht="14.65" thickBot="1" x14ac:dyDescent="0.5">
      <c r="A242" s="39">
        <v>45945</v>
      </c>
      <c r="B242" s="38">
        <v>40</v>
      </c>
      <c r="C242" s="42">
        <f t="shared" si="8"/>
        <v>42</v>
      </c>
      <c r="D242" s="38" t="str">
        <f t="shared" si="9"/>
        <v>Oct</v>
      </c>
      <c r="G242" s="14"/>
    </row>
    <row r="243" spans="1:7" ht="14.65" thickBot="1" x14ac:dyDescent="0.5">
      <c r="A243" s="39">
        <v>45946</v>
      </c>
      <c r="B243" s="38">
        <v>436</v>
      </c>
      <c r="C243" s="42">
        <f t="shared" si="8"/>
        <v>42</v>
      </c>
      <c r="D243" s="38" t="str">
        <f t="shared" si="9"/>
        <v>Oct</v>
      </c>
      <c r="G243" s="14"/>
    </row>
    <row r="244" spans="1:7" ht="14.65" thickBot="1" x14ac:dyDescent="0.5">
      <c r="A244" s="39">
        <v>45951</v>
      </c>
      <c r="B244" s="38">
        <v>264</v>
      </c>
      <c r="C244" s="42">
        <f t="shared" si="8"/>
        <v>43</v>
      </c>
      <c r="D244" s="38" t="str">
        <f t="shared" si="9"/>
        <v>Oct</v>
      </c>
      <c r="G244" s="14"/>
    </row>
    <row r="245" spans="1:7" ht="14.65" thickBot="1" x14ac:dyDescent="0.5">
      <c r="A245" s="39">
        <v>45952</v>
      </c>
      <c r="B245" s="38">
        <v>38</v>
      </c>
      <c r="C245" s="42">
        <f t="shared" si="8"/>
        <v>43</v>
      </c>
      <c r="D245" s="38" t="str">
        <f t="shared" si="9"/>
        <v>Oct</v>
      </c>
      <c r="G245" s="14"/>
    </row>
    <row r="246" spans="1:7" ht="14.65" thickBot="1" x14ac:dyDescent="0.5">
      <c r="A246" s="39">
        <v>45953</v>
      </c>
      <c r="B246" s="38">
        <v>268</v>
      </c>
      <c r="C246" s="42">
        <f t="shared" si="8"/>
        <v>43</v>
      </c>
      <c r="D246" s="38" t="str">
        <f t="shared" si="9"/>
        <v>Oct</v>
      </c>
      <c r="G246" s="14"/>
    </row>
    <row r="247" spans="1:7" ht="14.65" thickBot="1" x14ac:dyDescent="0.5">
      <c r="A247" s="39">
        <v>45954</v>
      </c>
      <c r="B247" s="38">
        <v>103</v>
      </c>
      <c r="C247" s="42">
        <f t="shared" si="8"/>
        <v>43</v>
      </c>
      <c r="D247" s="38" t="str">
        <f t="shared" si="9"/>
        <v>Oct</v>
      </c>
      <c r="G247" s="14"/>
    </row>
    <row r="248" spans="1:7" ht="14.65" thickBot="1" x14ac:dyDescent="0.5">
      <c r="A248" s="39">
        <v>45958</v>
      </c>
      <c r="B248" s="38">
        <v>157</v>
      </c>
      <c r="C248" s="42">
        <f t="shared" si="8"/>
        <v>44</v>
      </c>
      <c r="D248" s="38" t="str">
        <f t="shared" si="9"/>
        <v>Oct</v>
      </c>
      <c r="G248" s="14"/>
    </row>
    <row r="249" spans="1:7" ht="14.65" thickBot="1" x14ac:dyDescent="0.5">
      <c r="A249" s="39">
        <v>45959</v>
      </c>
      <c r="B249" s="38">
        <v>116</v>
      </c>
      <c r="C249" s="42">
        <f t="shared" si="8"/>
        <v>44</v>
      </c>
      <c r="D249" s="38" t="str">
        <f t="shared" si="9"/>
        <v>Oct</v>
      </c>
      <c r="G249" s="14"/>
    </row>
    <row r="250" spans="1:7" ht="14.65" thickBot="1" x14ac:dyDescent="0.5">
      <c r="A250" s="39">
        <v>45960</v>
      </c>
      <c r="B250" s="38">
        <v>222</v>
      </c>
      <c r="C250" s="42">
        <f t="shared" si="8"/>
        <v>44</v>
      </c>
      <c r="D250" s="38" t="str">
        <f t="shared" si="9"/>
        <v>Oct</v>
      </c>
      <c r="G250" s="14"/>
    </row>
    <row r="251" spans="1:7" ht="14.65" thickBot="1" x14ac:dyDescent="0.5">
      <c r="A251" s="39">
        <v>45961</v>
      </c>
      <c r="B251" s="38">
        <v>66</v>
      </c>
      <c r="C251" s="42">
        <f t="shared" si="8"/>
        <v>44</v>
      </c>
      <c r="D251" s="38" t="str">
        <f t="shared" si="9"/>
        <v>Oct</v>
      </c>
      <c r="G251" s="14"/>
    </row>
    <row r="252" spans="1:7" ht="14.65" thickBot="1" x14ac:dyDescent="0.5">
      <c r="A252" s="39">
        <v>45966</v>
      </c>
      <c r="B252" s="38">
        <v>58</v>
      </c>
      <c r="C252" s="42">
        <f t="shared" si="8"/>
        <v>45</v>
      </c>
      <c r="D252" s="38" t="str">
        <f t="shared" si="9"/>
        <v>Nov</v>
      </c>
      <c r="G252" s="14"/>
    </row>
    <row r="253" spans="1:7" ht="14.65" thickBot="1" x14ac:dyDescent="0.5">
      <c r="A253" s="39">
        <v>45967</v>
      </c>
      <c r="B253" s="38">
        <v>273</v>
      </c>
      <c r="C253" s="42">
        <f t="shared" si="8"/>
        <v>45</v>
      </c>
      <c r="D253" s="38" t="str">
        <f t="shared" si="9"/>
        <v>Nov</v>
      </c>
      <c r="G253" s="14"/>
    </row>
    <row r="254" spans="1:7" ht="14.65" thickBot="1" x14ac:dyDescent="0.5">
      <c r="A254" s="39">
        <v>45972</v>
      </c>
      <c r="B254" s="38">
        <v>40</v>
      </c>
      <c r="C254" s="42">
        <f t="shared" si="8"/>
        <v>46</v>
      </c>
      <c r="D254" s="38" t="str">
        <f t="shared" si="9"/>
        <v>Nov</v>
      </c>
      <c r="G254" s="14"/>
    </row>
    <row r="255" spans="1:7" ht="14.65" thickBot="1" x14ac:dyDescent="0.5">
      <c r="A255" s="39">
        <v>45974</v>
      </c>
      <c r="B255" s="38">
        <v>252</v>
      </c>
      <c r="C255" s="42">
        <f t="shared" si="8"/>
        <v>46</v>
      </c>
      <c r="D255" s="38" t="str">
        <f t="shared" si="9"/>
        <v>Nov</v>
      </c>
      <c r="G255" s="14"/>
    </row>
    <row r="256" spans="1:7" ht="14.65" thickBot="1" x14ac:dyDescent="0.5">
      <c r="A256" s="39">
        <v>45979</v>
      </c>
      <c r="B256" s="38">
        <v>17</v>
      </c>
      <c r="C256" s="42">
        <f t="shared" si="8"/>
        <v>47</v>
      </c>
      <c r="D256" s="38" t="str">
        <f t="shared" si="9"/>
        <v>Nov</v>
      </c>
      <c r="G256" s="14"/>
    </row>
    <row r="257" spans="1:7" ht="14.65" thickBot="1" x14ac:dyDescent="0.5">
      <c r="A257" s="39">
        <v>45980</v>
      </c>
      <c r="B257" s="38">
        <v>14</v>
      </c>
      <c r="C257" s="42">
        <f t="shared" si="8"/>
        <v>47</v>
      </c>
      <c r="D257" s="38" t="str">
        <f t="shared" si="9"/>
        <v>Nov</v>
      </c>
      <c r="G257" s="14"/>
    </row>
    <row r="258" spans="1:7" ht="14.65" thickBot="1" x14ac:dyDescent="0.5">
      <c r="A258" s="39">
        <v>45981</v>
      </c>
      <c r="B258" s="38">
        <v>203</v>
      </c>
      <c r="C258" s="42">
        <f t="shared" si="8"/>
        <v>47</v>
      </c>
      <c r="D258" s="38" t="str">
        <f t="shared" si="9"/>
        <v>Nov</v>
      </c>
      <c r="G258" s="14"/>
    </row>
    <row r="259" spans="1:7" ht="14.65" thickBot="1" x14ac:dyDescent="0.5">
      <c r="A259" s="39">
        <v>45986</v>
      </c>
      <c r="B259" s="38">
        <v>35</v>
      </c>
      <c r="C259" s="42">
        <f t="shared" si="8"/>
        <v>48</v>
      </c>
      <c r="D259" s="38" t="str">
        <f t="shared" si="9"/>
        <v>Nov</v>
      </c>
      <c r="G259" s="14"/>
    </row>
    <row r="260" spans="1:7" ht="14.65" thickBot="1" x14ac:dyDescent="0.5">
      <c r="A260" s="39">
        <v>45988</v>
      </c>
      <c r="B260" s="38">
        <v>75</v>
      </c>
      <c r="C260" s="42">
        <f t="shared" ref="C260:C323" si="10">WEEKNUM(A260,2)</f>
        <v>48</v>
      </c>
      <c r="D260" s="38" t="str">
        <f t="shared" ref="D260:D323" si="11">TEXT(A260,"mmm")</f>
        <v>Nov</v>
      </c>
      <c r="G260" s="14"/>
    </row>
    <row r="261" spans="1:7" ht="14.65" thickBot="1" x14ac:dyDescent="0.5">
      <c r="A261" s="39">
        <v>45995</v>
      </c>
      <c r="B261" s="38">
        <v>65</v>
      </c>
      <c r="C261" s="42">
        <f t="shared" si="10"/>
        <v>49</v>
      </c>
      <c r="D261" s="38" t="str">
        <f t="shared" si="11"/>
        <v>Dec</v>
      </c>
      <c r="G261" s="14"/>
    </row>
    <row r="262" spans="1:7" ht="14.65" thickBot="1" x14ac:dyDescent="0.5">
      <c r="A262" s="39">
        <v>46000</v>
      </c>
      <c r="B262" s="38">
        <v>26</v>
      </c>
      <c r="C262" s="42">
        <f t="shared" si="10"/>
        <v>50</v>
      </c>
      <c r="D262" s="38" t="str">
        <f t="shared" si="11"/>
        <v>Dec</v>
      </c>
      <c r="G262" s="14"/>
    </row>
    <row r="263" spans="1:7" ht="14.65" thickBot="1" x14ac:dyDescent="0.5">
      <c r="A263" s="39">
        <v>46002</v>
      </c>
      <c r="B263" s="38">
        <v>76</v>
      </c>
      <c r="C263" s="42">
        <f t="shared" si="10"/>
        <v>50</v>
      </c>
      <c r="D263" s="38" t="str">
        <f t="shared" si="11"/>
        <v>Dec</v>
      </c>
      <c r="G263" s="14"/>
    </row>
    <row r="264" spans="1:7" ht="14.65" thickBot="1" x14ac:dyDescent="0.5">
      <c r="A264" s="39">
        <v>46009</v>
      </c>
      <c r="B264" s="38">
        <v>79</v>
      </c>
      <c r="C264" s="42">
        <f t="shared" si="10"/>
        <v>51</v>
      </c>
      <c r="D264" s="38" t="str">
        <f t="shared" si="11"/>
        <v>Dec</v>
      </c>
      <c r="G264" s="14"/>
    </row>
    <row r="265" spans="1:7" ht="14.65" thickBot="1" x14ac:dyDescent="0.5">
      <c r="A265" s="39">
        <v>46010</v>
      </c>
      <c r="B265" s="38">
        <v>16</v>
      </c>
      <c r="C265" s="42">
        <f t="shared" si="10"/>
        <v>51</v>
      </c>
      <c r="D265" s="38" t="str">
        <f t="shared" si="11"/>
        <v>Dec</v>
      </c>
      <c r="G265" s="14"/>
    </row>
    <row r="266" spans="1:7" ht="14.65" thickBot="1" x14ac:dyDescent="0.5">
      <c r="A266" s="39">
        <v>46014</v>
      </c>
      <c r="B266" s="38">
        <v>26</v>
      </c>
      <c r="C266" s="42">
        <f t="shared" si="10"/>
        <v>52</v>
      </c>
      <c r="D266" s="38" t="str">
        <f t="shared" si="11"/>
        <v>Dec</v>
      </c>
      <c r="G266" s="14"/>
    </row>
    <row r="267" spans="1:7" ht="14.65" thickBot="1" x14ac:dyDescent="0.5">
      <c r="A267" s="39">
        <v>46028</v>
      </c>
      <c r="B267" s="38">
        <v>11</v>
      </c>
      <c r="C267" s="42">
        <f t="shared" si="10"/>
        <v>2</v>
      </c>
      <c r="D267" s="38" t="str">
        <f t="shared" si="11"/>
        <v>Jan</v>
      </c>
      <c r="G267" s="14"/>
    </row>
    <row r="268" spans="1:7" ht="14.65" thickBot="1" x14ac:dyDescent="0.5">
      <c r="A268" s="39">
        <v>46029</v>
      </c>
      <c r="B268" s="38">
        <v>12</v>
      </c>
      <c r="C268" s="42">
        <f t="shared" si="10"/>
        <v>2</v>
      </c>
      <c r="D268" s="38" t="str">
        <f t="shared" si="11"/>
        <v>Jan</v>
      </c>
      <c r="G268" s="14"/>
    </row>
    <row r="269" spans="1:7" ht="14.65" thickBot="1" x14ac:dyDescent="0.5">
      <c r="A269" s="39">
        <v>46030</v>
      </c>
      <c r="B269" s="38">
        <v>26</v>
      </c>
      <c r="C269" s="42">
        <f t="shared" si="10"/>
        <v>2</v>
      </c>
      <c r="D269" s="38" t="str">
        <f t="shared" si="11"/>
        <v>Jan</v>
      </c>
      <c r="G269" s="14"/>
    </row>
    <row r="270" spans="1:7" ht="14.65" thickBot="1" x14ac:dyDescent="0.5">
      <c r="A270" s="39">
        <v>46035</v>
      </c>
      <c r="B270" s="38">
        <v>31</v>
      </c>
      <c r="C270" s="42">
        <f t="shared" si="10"/>
        <v>3</v>
      </c>
      <c r="D270" s="38" t="str">
        <f t="shared" si="11"/>
        <v>Jan</v>
      </c>
      <c r="G270" s="14"/>
    </row>
    <row r="271" spans="1:7" ht="14.65" thickBot="1" x14ac:dyDescent="0.5">
      <c r="A271" s="39">
        <v>46036</v>
      </c>
      <c r="B271" s="38">
        <v>4</v>
      </c>
      <c r="C271" s="42">
        <f t="shared" si="10"/>
        <v>3</v>
      </c>
      <c r="D271" s="38" t="str">
        <f t="shared" si="11"/>
        <v>Jan</v>
      </c>
      <c r="G271" s="14"/>
    </row>
    <row r="272" spans="1:7" ht="14.65" thickBot="1" x14ac:dyDescent="0.5">
      <c r="A272" s="39">
        <v>46037</v>
      </c>
      <c r="B272" s="38">
        <v>29</v>
      </c>
      <c r="C272" s="42">
        <f t="shared" si="10"/>
        <v>3</v>
      </c>
      <c r="D272" s="38" t="str">
        <f t="shared" si="11"/>
        <v>Jan</v>
      </c>
      <c r="G272" s="14"/>
    </row>
    <row r="273" spans="1:7" ht="14.65" thickBot="1" x14ac:dyDescent="0.5">
      <c r="A273" s="39">
        <v>46042</v>
      </c>
      <c r="B273" s="38">
        <v>36</v>
      </c>
      <c r="C273" s="42">
        <f t="shared" si="10"/>
        <v>4</v>
      </c>
      <c r="D273" s="38" t="str">
        <f t="shared" si="11"/>
        <v>Jan</v>
      </c>
      <c r="G273" s="14"/>
    </row>
    <row r="274" spans="1:7" ht="14.65" thickBot="1" x14ac:dyDescent="0.5">
      <c r="A274" s="39">
        <v>46043</v>
      </c>
      <c r="B274" s="38">
        <v>2</v>
      </c>
      <c r="C274" s="42">
        <f t="shared" si="10"/>
        <v>4</v>
      </c>
      <c r="D274" s="38" t="str">
        <f t="shared" si="11"/>
        <v>Jan</v>
      </c>
      <c r="G274" s="14"/>
    </row>
    <row r="275" spans="1:7" ht="14.65" thickBot="1" x14ac:dyDescent="0.5">
      <c r="A275" s="39">
        <v>46044</v>
      </c>
      <c r="B275" s="38">
        <v>43</v>
      </c>
      <c r="C275" s="42">
        <f t="shared" si="10"/>
        <v>4</v>
      </c>
      <c r="D275" s="38" t="str">
        <f t="shared" si="11"/>
        <v>Jan</v>
      </c>
      <c r="G275" s="14"/>
    </row>
    <row r="276" spans="1:7" ht="14.65" thickBot="1" x14ac:dyDescent="0.5">
      <c r="A276" s="39">
        <v>46049</v>
      </c>
      <c r="B276" s="38">
        <v>27</v>
      </c>
      <c r="C276" s="42">
        <f t="shared" si="10"/>
        <v>5</v>
      </c>
      <c r="D276" s="38" t="str">
        <f t="shared" si="11"/>
        <v>Jan</v>
      </c>
      <c r="G276" s="14"/>
    </row>
    <row r="277" spans="1:7" ht="14.65" thickBot="1" x14ac:dyDescent="0.5">
      <c r="A277" s="39">
        <v>46050</v>
      </c>
      <c r="B277" s="38">
        <v>5</v>
      </c>
      <c r="C277" s="42">
        <f t="shared" si="10"/>
        <v>5</v>
      </c>
      <c r="D277" s="38" t="str">
        <f t="shared" si="11"/>
        <v>Jan</v>
      </c>
      <c r="G277" s="14"/>
    </row>
    <row r="278" spans="1:7" ht="14.65" thickBot="1" x14ac:dyDescent="0.5">
      <c r="A278" s="39">
        <v>46051</v>
      </c>
      <c r="B278" s="38">
        <v>95</v>
      </c>
      <c r="C278" s="42">
        <f t="shared" si="10"/>
        <v>5</v>
      </c>
      <c r="D278" s="38" t="str">
        <f t="shared" si="11"/>
        <v>Jan</v>
      </c>
      <c r="G278" s="14"/>
    </row>
    <row r="279" spans="1:7" ht="14.65" thickBot="1" x14ac:dyDescent="0.5">
      <c r="A279" s="39">
        <v>46056</v>
      </c>
      <c r="B279" s="38">
        <v>111</v>
      </c>
      <c r="C279" s="42">
        <f t="shared" si="10"/>
        <v>6</v>
      </c>
      <c r="D279" s="38" t="str">
        <f t="shared" si="11"/>
        <v>Feb</v>
      </c>
      <c r="G279" s="14"/>
    </row>
    <row r="280" spans="1:7" ht="14.65" thickBot="1" x14ac:dyDescent="0.5">
      <c r="A280" s="39">
        <v>46058</v>
      </c>
      <c r="B280" s="38">
        <v>49</v>
      </c>
      <c r="C280" s="42">
        <f t="shared" si="10"/>
        <v>6</v>
      </c>
      <c r="D280" s="38" t="str">
        <f t="shared" si="11"/>
        <v>Feb</v>
      </c>
      <c r="G280" s="14"/>
    </row>
    <row r="281" spans="1:7" ht="14.65" thickBot="1" x14ac:dyDescent="0.5">
      <c r="A281" s="39">
        <v>46059</v>
      </c>
      <c r="B281" s="38">
        <v>57</v>
      </c>
      <c r="C281" s="42">
        <f t="shared" si="10"/>
        <v>6</v>
      </c>
      <c r="D281" s="38" t="str">
        <f t="shared" si="11"/>
        <v>Feb</v>
      </c>
      <c r="G281" s="14"/>
    </row>
    <row r="282" spans="1:7" ht="14.65" thickBot="1" x14ac:dyDescent="0.5">
      <c r="A282" s="39">
        <v>46063</v>
      </c>
      <c r="B282" s="38">
        <v>159</v>
      </c>
      <c r="C282" s="42">
        <f t="shared" si="10"/>
        <v>7</v>
      </c>
      <c r="D282" s="38" t="str">
        <f t="shared" si="11"/>
        <v>Feb</v>
      </c>
      <c r="G282" s="14"/>
    </row>
    <row r="283" spans="1:7" ht="14.65" thickBot="1" x14ac:dyDescent="0.5">
      <c r="A283" s="39">
        <v>46065</v>
      </c>
      <c r="B283" s="38">
        <v>126</v>
      </c>
      <c r="C283" s="42">
        <f t="shared" si="10"/>
        <v>7</v>
      </c>
      <c r="D283" s="38" t="str">
        <f t="shared" si="11"/>
        <v>Feb</v>
      </c>
      <c r="G283" s="14"/>
    </row>
    <row r="284" spans="1:7" ht="14.65" thickBot="1" x14ac:dyDescent="0.5">
      <c r="A284" s="39">
        <v>46066</v>
      </c>
      <c r="B284" s="38">
        <v>90</v>
      </c>
      <c r="C284" s="42">
        <f t="shared" si="10"/>
        <v>7</v>
      </c>
      <c r="D284" s="38" t="str">
        <f t="shared" si="11"/>
        <v>Feb</v>
      </c>
      <c r="G284" s="14"/>
    </row>
    <row r="285" spans="1:7" ht="14.65" thickBot="1" x14ac:dyDescent="0.5">
      <c r="A285" s="39">
        <v>46069</v>
      </c>
      <c r="B285" s="38">
        <v>106</v>
      </c>
      <c r="C285" s="42">
        <f t="shared" si="10"/>
        <v>8</v>
      </c>
      <c r="D285" s="38" t="str">
        <f t="shared" si="11"/>
        <v>Feb</v>
      </c>
      <c r="G285" s="14"/>
    </row>
    <row r="286" spans="1:7" ht="14.65" thickBot="1" x14ac:dyDescent="0.5">
      <c r="A286" s="39">
        <v>46071</v>
      </c>
      <c r="B286" s="38">
        <v>74</v>
      </c>
      <c r="C286" s="42">
        <f t="shared" si="10"/>
        <v>8</v>
      </c>
      <c r="D286" s="38" t="str">
        <f t="shared" si="11"/>
        <v>Feb</v>
      </c>
      <c r="G286" s="14"/>
    </row>
    <row r="287" spans="1:7" ht="14.65" thickBot="1" x14ac:dyDescent="0.5">
      <c r="A287" s="39">
        <v>46072</v>
      </c>
      <c r="B287" s="38">
        <v>247</v>
      </c>
      <c r="C287" s="42">
        <f t="shared" si="10"/>
        <v>8</v>
      </c>
      <c r="D287" s="38" t="str">
        <f t="shared" si="11"/>
        <v>Feb</v>
      </c>
      <c r="G287" s="14"/>
    </row>
    <row r="288" spans="1:7" ht="14.65" thickBot="1" x14ac:dyDescent="0.5">
      <c r="A288" s="39">
        <v>46073</v>
      </c>
      <c r="B288" s="38">
        <v>45</v>
      </c>
      <c r="C288" s="42">
        <f t="shared" si="10"/>
        <v>8</v>
      </c>
      <c r="D288" s="38" t="str">
        <f t="shared" si="11"/>
        <v>Feb</v>
      </c>
      <c r="G288" s="14"/>
    </row>
    <row r="289" spans="1:7" ht="14.65" thickBot="1" x14ac:dyDescent="0.5">
      <c r="A289" s="39">
        <v>46077</v>
      </c>
      <c r="B289" s="38">
        <v>115</v>
      </c>
      <c r="C289" s="42">
        <f t="shared" si="10"/>
        <v>9</v>
      </c>
      <c r="D289" s="38" t="str">
        <f t="shared" si="11"/>
        <v>Feb</v>
      </c>
      <c r="G289" s="14"/>
    </row>
    <row r="290" spans="1:7" ht="14.65" thickBot="1" x14ac:dyDescent="0.5">
      <c r="A290" s="39">
        <v>46078</v>
      </c>
      <c r="B290" s="38">
        <v>92</v>
      </c>
      <c r="C290" s="42">
        <f t="shared" si="10"/>
        <v>9</v>
      </c>
      <c r="D290" s="38" t="str">
        <f t="shared" si="11"/>
        <v>Feb</v>
      </c>
      <c r="G290" s="14"/>
    </row>
    <row r="291" spans="1:7" ht="14.65" thickBot="1" x14ac:dyDescent="0.5">
      <c r="A291" s="39">
        <v>46079</v>
      </c>
      <c r="B291" s="38">
        <v>459</v>
      </c>
      <c r="C291" s="42">
        <f t="shared" si="10"/>
        <v>9</v>
      </c>
      <c r="D291" s="38" t="str">
        <f t="shared" si="11"/>
        <v>Feb</v>
      </c>
      <c r="G291" s="14"/>
    </row>
    <row r="292" spans="1:7" ht="14.65" thickBot="1" x14ac:dyDescent="0.5">
      <c r="A292" s="39">
        <v>46080</v>
      </c>
      <c r="B292" s="38">
        <v>105</v>
      </c>
      <c r="C292" s="42">
        <f t="shared" si="10"/>
        <v>9</v>
      </c>
      <c r="D292" s="38" t="str">
        <f t="shared" si="11"/>
        <v>Feb</v>
      </c>
      <c r="G292" s="14"/>
    </row>
    <row r="293" spans="1:7" ht="14.65" thickBot="1" x14ac:dyDescent="0.5">
      <c r="A293" s="39">
        <v>46084</v>
      </c>
      <c r="B293" s="38">
        <v>169</v>
      </c>
      <c r="C293" s="42">
        <f t="shared" si="10"/>
        <v>10</v>
      </c>
      <c r="D293" s="38" t="str">
        <f t="shared" si="11"/>
        <v>Mar</v>
      </c>
      <c r="G293" s="14"/>
    </row>
    <row r="294" spans="1:7" ht="14.65" thickBot="1" x14ac:dyDescent="0.5">
      <c r="A294" s="39">
        <v>46085</v>
      </c>
      <c r="B294" s="38">
        <v>41</v>
      </c>
      <c r="C294" s="42">
        <f t="shared" si="10"/>
        <v>10</v>
      </c>
      <c r="D294" s="38" t="str">
        <f t="shared" si="11"/>
        <v>Mar</v>
      </c>
      <c r="G294" s="14"/>
    </row>
    <row r="295" spans="1:7" ht="14.65" thickBot="1" x14ac:dyDescent="0.5">
      <c r="A295" s="39">
        <v>46086</v>
      </c>
      <c r="B295" s="38">
        <v>786</v>
      </c>
      <c r="C295" s="42">
        <f t="shared" si="10"/>
        <v>10</v>
      </c>
      <c r="D295" s="38" t="str">
        <f t="shared" si="11"/>
        <v>Mar</v>
      </c>
      <c r="G295" s="14"/>
    </row>
    <row r="296" spans="1:7" ht="14.65" thickBot="1" x14ac:dyDescent="0.5">
      <c r="A296" s="39">
        <v>46091</v>
      </c>
      <c r="B296" s="38">
        <v>441</v>
      </c>
      <c r="C296" s="42">
        <f t="shared" si="10"/>
        <v>11</v>
      </c>
      <c r="D296" s="38" t="str">
        <f t="shared" si="11"/>
        <v>Mar</v>
      </c>
      <c r="G296" s="14"/>
    </row>
    <row r="297" spans="1:7" ht="14.65" thickBot="1" x14ac:dyDescent="0.5">
      <c r="A297" s="39">
        <v>46092</v>
      </c>
      <c r="B297" s="38">
        <v>88</v>
      </c>
      <c r="C297" s="42">
        <f t="shared" si="10"/>
        <v>11</v>
      </c>
      <c r="D297" s="38" t="str">
        <f t="shared" si="11"/>
        <v>Mar</v>
      </c>
      <c r="G297" s="14"/>
    </row>
    <row r="298" spans="1:7" ht="14.65" thickBot="1" x14ac:dyDescent="0.5">
      <c r="A298" s="39">
        <v>46093</v>
      </c>
      <c r="B298" s="38">
        <v>560</v>
      </c>
      <c r="C298" s="42">
        <f t="shared" si="10"/>
        <v>11</v>
      </c>
      <c r="D298" s="38" t="str">
        <f t="shared" si="11"/>
        <v>Mar</v>
      </c>
      <c r="G298" s="14"/>
    </row>
    <row r="299" spans="1:7" ht="14.65" thickBot="1" x14ac:dyDescent="0.5">
      <c r="A299" s="39">
        <v>46098</v>
      </c>
      <c r="B299" s="38">
        <v>494</v>
      </c>
      <c r="C299" s="42">
        <f t="shared" si="10"/>
        <v>12</v>
      </c>
      <c r="D299" s="38" t="str">
        <f t="shared" si="11"/>
        <v>Mar</v>
      </c>
      <c r="G299" s="14"/>
    </row>
    <row r="300" spans="1:7" ht="14.65" thickBot="1" x14ac:dyDescent="0.5">
      <c r="A300" s="39">
        <v>46099</v>
      </c>
      <c r="B300" s="38">
        <v>43</v>
      </c>
      <c r="C300" s="42">
        <f t="shared" si="10"/>
        <v>12</v>
      </c>
      <c r="D300" s="38" t="str">
        <f t="shared" si="11"/>
        <v>Mar</v>
      </c>
      <c r="G300" s="14"/>
    </row>
    <row r="301" spans="1:7" ht="14.65" thickBot="1" x14ac:dyDescent="0.5">
      <c r="A301" s="39">
        <v>46100</v>
      </c>
      <c r="B301" s="38">
        <v>548</v>
      </c>
      <c r="C301" s="42">
        <f t="shared" si="10"/>
        <v>12</v>
      </c>
      <c r="D301" s="38" t="str">
        <f t="shared" si="11"/>
        <v>Mar</v>
      </c>
      <c r="G301" s="14"/>
    </row>
    <row r="302" spans="1:7" ht="14.65" thickBot="1" x14ac:dyDescent="0.5">
      <c r="A302" s="39">
        <v>46105</v>
      </c>
      <c r="B302" s="38">
        <v>543</v>
      </c>
      <c r="C302" s="42">
        <f t="shared" si="10"/>
        <v>13</v>
      </c>
      <c r="D302" s="38" t="str">
        <f t="shared" si="11"/>
        <v>Mar</v>
      </c>
      <c r="G302" s="14"/>
    </row>
    <row r="303" spans="1:7" ht="14.65" thickBot="1" x14ac:dyDescent="0.5">
      <c r="A303" s="39">
        <v>46106</v>
      </c>
      <c r="B303" s="38">
        <v>37</v>
      </c>
      <c r="C303" s="42">
        <f t="shared" si="10"/>
        <v>13</v>
      </c>
      <c r="D303" s="38" t="str">
        <f t="shared" si="11"/>
        <v>Mar</v>
      </c>
      <c r="G303" s="14"/>
    </row>
    <row r="304" spans="1:7" ht="14.65" thickBot="1" x14ac:dyDescent="0.5">
      <c r="A304" s="39">
        <v>46107</v>
      </c>
      <c r="B304" s="38">
        <v>357</v>
      </c>
      <c r="C304" s="42">
        <f t="shared" si="10"/>
        <v>13</v>
      </c>
      <c r="D304" s="38" t="str">
        <f t="shared" si="11"/>
        <v>Mar</v>
      </c>
      <c r="G304" s="14"/>
    </row>
    <row r="305" spans="1:7" ht="14.65" thickBot="1" x14ac:dyDescent="0.5">
      <c r="A305" s="39">
        <v>46112</v>
      </c>
      <c r="B305" s="38">
        <v>476</v>
      </c>
      <c r="C305" s="42">
        <f t="shared" si="10"/>
        <v>14</v>
      </c>
      <c r="D305" s="38" t="str">
        <f t="shared" si="11"/>
        <v>Mar</v>
      </c>
      <c r="G305" s="14"/>
    </row>
    <row r="306" spans="1:7" ht="14.65" thickBot="1" x14ac:dyDescent="0.5">
      <c r="A306" s="39">
        <v>46113</v>
      </c>
      <c r="B306" s="38">
        <v>51</v>
      </c>
      <c r="C306" s="42">
        <f t="shared" si="10"/>
        <v>14</v>
      </c>
      <c r="D306" s="38" t="str">
        <f t="shared" si="11"/>
        <v>Apr</v>
      </c>
      <c r="G306" s="14"/>
    </row>
    <row r="307" spans="1:7" ht="14.65" thickBot="1" x14ac:dyDescent="0.5">
      <c r="A307" s="39">
        <v>46114</v>
      </c>
      <c r="B307" s="38">
        <v>380</v>
      </c>
      <c r="C307" s="42">
        <f t="shared" si="10"/>
        <v>14</v>
      </c>
      <c r="D307" s="38" t="str">
        <f t="shared" si="11"/>
        <v>Apr</v>
      </c>
      <c r="G307" s="14"/>
    </row>
    <row r="308" spans="1:7" ht="14.65" thickBot="1" x14ac:dyDescent="0.5">
      <c r="A308" s="39">
        <v>46119</v>
      </c>
      <c r="B308" s="38">
        <v>216</v>
      </c>
      <c r="C308" s="42">
        <f t="shared" si="10"/>
        <v>15</v>
      </c>
      <c r="D308" s="38" t="str">
        <f t="shared" si="11"/>
        <v>Apr</v>
      </c>
      <c r="G308" s="14"/>
    </row>
    <row r="309" spans="1:7" ht="14.65" thickBot="1" x14ac:dyDescent="0.5">
      <c r="A309" s="39">
        <v>46120</v>
      </c>
      <c r="B309" s="38">
        <v>127</v>
      </c>
      <c r="C309" s="42">
        <f t="shared" si="10"/>
        <v>15</v>
      </c>
      <c r="D309" s="38" t="str">
        <f t="shared" si="11"/>
        <v>Apr</v>
      </c>
      <c r="G309" s="14"/>
    </row>
    <row r="310" spans="1:7" ht="14.65" thickBot="1" x14ac:dyDescent="0.5">
      <c r="A310" s="39">
        <v>46121</v>
      </c>
      <c r="B310" s="38">
        <v>300</v>
      </c>
      <c r="C310" s="42">
        <f t="shared" si="10"/>
        <v>15</v>
      </c>
      <c r="D310" s="38" t="str">
        <f t="shared" si="11"/>
        <v>Apr</v>
      </c>
      <c r="G310" s="14"/>
    </row>
    <row r="311" spans="1:7" ht="14.65" thickBot="1" x14ac:dyDescent="0.5">
      <c r="A311" s="39">
        <v>46122</v>
      </c>
      <c r="B311" s="38">
        <v>194</v>
      </c>
      <c r="C311" s="42">
        <f t="shared" si="10"/>
        <v>15</v>
      </c>
      <c r="D311" s="38" t="str">
        <f t="shared" si="11"/>
        <v>Apr</v>
      </c>
      <c r="G311" s="14"/>
    </row>
    <row r="312" spans="1:7" ht="14.65" thickBot="1" x14ac:dyDescent="0.5">
      <c r="A312" s="39">
        <v>46126</v>
      </c>
      <c r="B312" s="38">
        <v>229</v>
      </c>
      <c r="C312" s="42">
        <f t="shared" si="10"/>
        <v>16</v>
      </c>
      <c r="D312" s="38" t="str">
        <f t="shared" si="11"/>
        <v>Apr</v>
      </c>
      <c r="G312" s="14"/>
    </row>
    <row r="313" spans="1:7" ht="14.65" thickBot="1" x14ac:dyDescent="0.5">
      <c r="A313" s="39">
        <v>46127</v>
      </c>
      <c r="B313" s="38">
        <v>38</v>
      </c>
      <c r="C313" s="42">
        <f t="shared" si="10"/>
        <v>16</v>
      </c>
      <c r="D313" s="38" t="str">
        <f t="shared" si="11"/>
        <v>Apr</v>
      </c>
      <c r="G313" s="14"/>
    </row>
    <row r="314" spans="1:7" ht="14.65" thickBot="1" x14ac:dyDescent="0.5">
      <c r="A314" s="39">
        <v>46128</v>
      </c>
      <c r="B314" s="38">
        <v>298</v>
      </c>
      <c r="C314" s="42">
        <f t="shared" si="10"/>
        <v>16</v>
      </c>
      <c r="D314" s="38" t="str">
        <f t="shared" si="11"/>
        <v>Apr</v>
      </c>
      <c r="G314" s="14"/>
    </row>
    <row r="315" spans="1:7" ht="14.65" thickBot="1" x14ac:dyDescent="0.5">
      <c r="A315" s="39">
        <v>46129</v>
      </c>
      <c r="B315" s="38">
        <v>64</v>
      </c>
      <c r="C315" s="42">
        <f t="shared" si="10"/>
        <v>16</v>
      </c>
      <c r="D315" s="38" t="str">
        <f t="shared" si="11"/>
        <v>Apr</v>
      </c>
      <c r="G315" s="14"/>
    </row>
    <row r="316" spans="1:7" ht="14.65" thickBot="1" x14ac:dyDescent="0.5">
      <c r="A316" s="39">
        <v>46133</v>
      </c>
      <c r="B316" s="38">
        <v>196</v>
      </c>
      <c r="C316" s="42">
        <f t="shared" si="10"/>
        <v>17</v>
      </c>
      <c r="D316" s="38" t="str">
        <f t="shared" si="11"/>
        <v>Apr</v>
      </c>
      <c r="G316" s="14"/>
    </row>
    <row r="317" spans="1:7" ht="14.65" thickBot="1" x14ac:dyDescent="0.5">
      <c r="A317" s="39">
        <v>46134</v>
      </c>
      <c r="B317" s="38">
        <v>34</v>
      </c>
      <c r="C317" s="42">
        <f t="shared" si="10"/>
        <v>17</v>
      </c>
      <c r="D317" s="38" t="str">
        <f t="shared" si="11"/>
        <v>Apr</v>
      </c>
      <c r="G317" s="14"/>
    </row>
    <row r="318" spans="1:7" ht="14.65" thickBot="1" x14ac:dyDescent="0.5">
      <c r="A318" s="39">
        <v>46135</v>
      </c>
      <c r="B318" s="38">
        <v>257</v>
      </c>
      <c r="C318" s="42">
        <f t="shared" si="10"/>
        <v>17</v>
      </c>
      <c r="D318" s="38" t="str">
        <f t="shared" si="11"/>
        <v>Apr</v>
      </c>
      <c r="G318" s="14"/>
    </row>
    <row r="319" spans="1:7" ht="14.65" thickBot="1" x14ac:dyDescent="0.5">
      <c r="A319" s="39">
        <v>46136</v>
      </c>
      <c r="B319" s="38">
        <v>70</v>
      </c>
      <c r="C319" s="42">
        <f t="shared" si="10"/>
        <v>17</v>
      </c>
      <c r="D319" s="38" t="str">
        <f t="shared" si="11"/>
        <v>Apr</v>
      </c>
      <c r="G319" s="14"/>
    </row>
    <row r="320" spans="1:7" ht="14.65" thickBot="1" x14ac:dyDescent="0.5">
      <c r="A320" s="39">
        <v>46140</v>
      </c>
      <c r="B320" s="38">
        <v>188</v>
      </c>
      <c r="C320" s="42">
        <f t="shared" si="10"/>
        <v>18</v>
      </c>
      <c r="D320" s="38" t="str">
        <f t="shared" si="11"/>
        <v>Apr</v>
      </c>
      <c r="G320" s="14"/>
    </row>
    <row r="321" spans="1:7" ht="14.65" thickBot="1" x14ac:dyDescent="0.5">
      <c r="A321" s="39">
        <v>46141</v>
      </c>
      <c r="B321" s="38">
        <v>40</v>
      </c>
      <c r="C321" s="42">
        <f t="shared" si="10"/>
        <v>18</v>
      </c>
      <c r="D321" s="38" t="str">
        <f t="shared" si="11"/>
        <v>Apr</v>
      </c>
      <c r="G321" s="14"/>
    </row>
    <row r="322" spans="1:7" ht="14.65" thickBot="1" x14ac:dyDescent="0.5">
      <c r="A322" s="39">
        <v>46142</v>
      </c>
      <c r="B322" s="38">
        <v>412</v>
      </c>
      <c r="C322" s="42">
        <f t="shared" si="10"/>
        <v>18</v>
      </c>
      <c r="D322" s="38" t="str">
        <f t="shared" si="11"/>
        <v>Apr</v>
      </c>
      <c r="G322" s="14"/>
    </row>
    <row r="323" spans="1:7" ht="14.65" thickBot="1" x14ac:dyDescent="0.5">
      <c r="A323" s="39">
        <v>46143</v>
      </c>
      <c r="B323" s="38">
        <v>69</v>
      </c>
      <c r="C323" s="42">
        <f t="shared" si="10"/>
        <v>18</v>
      </c>
      <c r="D323" s="38" t="str">
        <f t="shared" si="11"/>
        <v>May</v>
      </c>
      <c r="G323" s="14"/>
    </row>
    <row r="324" spans="1:7" ht="14.65" thickBot="1" x14ac:dyDescent="0.5">
      <c r="A324" s="39">
        <v>46147</v>
      </c>
      <c r="B324" s="38">
        <v>188</v>
      </c>
      <c r="C324" s="42">
        <f t="shared" ref="C324:C347" si="12">WEEKNUM(A324,2)</f>
        <v>19</v>
      </c>
      <c r="D324" s="38" t="str">
        <f t="shared" ref="D324:D347" si="13">TEXT(A324,"mmm")</f>
        <v>May</v>
      </c>
      <c r="G324" s="14"/>
    </row>
    <row r="325" spans="1:7" ht="14.65" thickBot="1" x14ac:dyDescent="0.5">
      <c r="A325" s="39">
        <v>46148</v>
      </c>
      <c r="B325" s="38">
        <v>64</v>
      </c>
      <c r="C325" s="42">
        <f t="shared" si="12"/>
        <v>19</v>
      </c>
      <c r="D325" s="38" t="str">
        <f t="shared" si="13"/>
        <v>May</v>
      </c>
      <c r="G325" s="14"/>
    </row>
    <row r="326" spans="1:7" ht="14.65" thickBot="1" x14ac:dyDescent="0.5">
      <c r="A326" s="39">
        <v>46149</v>
      </c>
      <c r="B326" s="38">
        <v>167</v>
      </c>
      <c r="C326" s="42">
        <f t="shared" si="12"/>
        <v>19</v>
      </c>
      <c r="D326" s="38" t="str">
        <f t="shared" si="13"/>
        <v>May</v>
      </c>
      <c r="G326" s="14"/>
    </row>
    <row r="327" spans="1:7" ht="14.65" thickBot="1" x14ac:dyDescent="0.5">
      <c r="A327" s="39">
        <v>46150</v>
      </c>
      <c r="B327" s="38">
        <v>144</v>
      </c>
      <c r="C327" s="42">
        <f t="shared" si="12"/>
        <v>19</v>
      </c>
      <c r="D327" s="38" t="str">
        <f t="shared" si="13"/>
        <v>May</v>
      </c>
      <c r="G327" s="14"/>
    </row>
    <row r="328" spans="1:7" ht="14.65" thickBot="1" x14ac:dyDescent="0.5">
      <c r="A328" s="39">
        <v>46153</v>
      </c>
      <c r="B328" s="38">
        <v>78</v>
      </c>
      <c r="C328" s="42">
        <f t="shared" si="12"/>
        <v>20</v>
      </c>
      <c r="D328" s="38" t="str">
        <f t="shared" si="13"/>
        <v>May</v>
      </c>
      <c r="G328" s="14"/>
    </row>
    <row r="329" spans="1:7" ht="14.65" thickBot="1" x14ac:dyDescent="0.5">
      <c r="A329" s="39">
        <v>46154</v>
      </c>
      <c r="B329" s="38">
        <v>106</v>
      </c>
      <c r="C329" s="42">
        <f t="shared" si="12"/>
        <v>20</v>
      </c>
      <c r="D329" s="38" t="str">
        <f t="shared" si="13"/>
        <v>May</v>
      </c>
      <c r="G329" s="14"/>
    </row>
    <row r="330" spans="1:7" ht="14.65" thickBot="1" x14ac:dyDescent="0.5">
      <c r="A330" s="39">
        <v>46155</v>
      </c>
      <c r="B330" s="38">
        <v>59</v>
      </c>
      <c r="C330" s="42">
        <f t="shared" si="12"/>
        <v>20</v>
      </c>
      <c r="D330" s="38" t="str">
        <f t="shared" si="13"/>
        <v>May</v>
      </c>
      <c r="G330" s="14"/>
    </row>
    <row r="331" spans="1:7" ht="14.65" thickBot="1" x14ac:dyDescent="0.5">
      <c r="A331" s="39">
        <v>46156</v>
      </c>
      <c r="B331" s="38">
        <v>87</v>
      </c>
      <c r="C331" s="42">
        <f t="shared" si="12"/>
        <v>20</v>
      </c>
      <c r="D331" s="38" t="str">
        <f t="shared" si="13"/>
        <v>May</v>
      </c>
      <c r="G331" s="14"/>
    </row>
    <row r="332" spans="1:7" ht="14.65" thickBot="1" x14ac:dyDescent="0.5">
      <c r="A332" s="39">
        <v>46157</v>
      </c>
      <c r="B332" s="38">
        <v>41</v>
      </c>
      <c r="C332" s="42">
        <f t="shared" si="12"/>
        <v>20</v>
      </c>
      <c r="D332" s="38" t="str">
        <f t="shared" si="13"/>
        <v>May</v>
      </c>
      <c r="G332" s="14"/>
    </row>
    <row r="333" spans="1:7" ht="14.65" thickBot="1" x14ac:dyDescent="0.5">
      <c r="A333" s="39">
        <v>46161</v>
      </c>
      <c r="B333" s="38">
        <v>241</v>
      </c>
      <c r="C333" s="42">
        <f t="shared" si="12"/>
        <v>21</v>
      </c>
      <c r="D333" s="38" t="str">
        <f t="shared" si="13"/>
        <v>May</v>
      </c>
      <c r="G333" s="14"/>
    </row>
    <row r="334" spans="1:7" ht="14.65" thickBot="1" x14ac:dyDescent="0.5">
      <c r="A334" s="39">
        <v>46162</v>
      </c>
      <c r="B334" s="38">
        <v>51</v>
      </c>
      <c r="C334" s="42">
        <f t="shared" si="12"/>
        <v>21</v>
      </c>
      <c r="D334" s="38" t="str">
        <f t="shared" si="13"/>
        <v>May</v>
      </c>
      <c r="G334" s="14"/>
    </row>
    <row r="335" spans="1:7" ht="14.65" thickBot="1" x14ac:dyDescent="0.5">
      <c r="A335" s="39">
        <v>46163</v>
      </c>
      <c r="B335" s="38">
        <v>72</v>
      </c>
      <c r="C335" s="42">
        <f t="shared" si="12"/>
        <v>21</v>
      </c>
      <c r="D335" s="38" t="str">
        <f t="shared" si="13"/>
        <v>May</v>
      </c>
      <c r="G335" s="14"/>
    </row>
    <row r="336" spans="1:7" ht="14.65" thickBot="1" x14ac:dyDescent="0.5">
      <c r="A336" s="39">
        <v>46164</v>
      </c>
      <c r="B336" s="38">
        <v>64</v>
      </c>
      <c r="C336" s="42">
        <f t="shared" si="12"/>
        <v>21</v>
      </c>
      <c r="D336" s="38" t="str">
        <f t="shared" si="13"/>
        <v>May</v>
      </c>
      <c r="G336" s="14"/>
    </row>
    <row r="337" spans="1:7" ht="14.65" thickBot="1" x14ac:dyDescent="0.5">
      <c r="A337" s="39">
        <v>46168</v>
      </c>
      <c r="B337" s="38">
        <v>268</v>
      </c>
      <c r="C337" s="42">
        <f t="shared" si="12"/>
        <v>22</v>
      </c>
      <c r="D337" s="38" t="str">
        <f t="shared" si="13"/>
        <v>May</v>
      </c>
      <c r="G337" s="14"/>
    </row>
    <row r="338" spans="1:7" ht="14.65" thickBot="1" x14ac:dyDescent="0.5">
      <c r="A338" s="39">
        <v>46169</v>
      </c>
      <c r="B338" s="38">
        <v>29</v>
      </c>
      <c r="C338" s="42">
        <f t="shared" si="12"/>
        <v>22</v>
      </c>
      <c r="D338" s="38" t="str">
        <f t="shared" si="13"/>
        <v>May</v>
      </c>
      <c r="G338" s="14"/>
    </row>
    <row r="339" spans="1:7" ht="14.65" thickBot="1" x14ac:dyDescent="0.5">
      <c r="A339" s="39">
        <v>46170</v>
      </c>
      <c r="B339" s="38">
        <v>69</v>
      </c>
      <c r="C339" s="42">
        <f t="shared" si="12"/>
        <v>22</v>
      </c>
      <c r="D339" s="38" t="str">
        <f t="shared" si="13"/>
        <v>May</v>
      </c>
      <c r="G339" s="14"/>
    </row>
    <row r="340" spans="1:7" ht="14.65" thickBot="1" x14ac:dyDescent="0.5">
      <c r="A340" s="39">
        <v>46171</v>
      </c>
      <c r="B340" s="38">
        <v>64</v>
      </c>
      <c r="C340" s="42">
        <f t="shared" si="12"/>
        <v>22</v>
      </c>
      <c r="D340" s="38" t="str">
        <f t="shared" si="13"/>
        <v>May</v>
      </c>
      <c r="G340" s="14"/>
    </row>
    <row r="341" spans="1:7" ht="14.65" thickBot="1" x14ac:dyDescent="0.5">
      <c r="A341" s="39">
        <v>46175</v>
      </c>
      <c r="B341" s="38">
        <v>275</v>
      </c>
      <c r="C341" s="42">
        <f t="shared" si="12"/>
        <v>23</v>
      </c>
      <c r="D341" s="38" t="str">
        <f t="shared" si="13"/>
        <v>Jun</v>
      </c>
      <c r="G341" s="14"/>
    </row>
    <row r="342" spans="1:7" ht="14.65" thickBot="1" x14ac:dyDescent="0.5">
      <c r="A342" s="39">
        <v>46176</v>
      </c>
      <c r="B342" s="38">
        <v>15</v>
      </c>
      <c r="C342" s="42">
        <f t="shared" si="12"/>
        <v>23</v>
      </c>
      <c r="D342" s="38" t="str">
        <f t="shared" si="13"/>
        <v>Jun</v>
      </c>
      <c r="G342" s="14"/>
    </row>
    <row r="343" spans="1:7" ht="14.65" thickBot="1" x14ac:dyDescent="0.5">
      <c r="A343" s="39">
        <v>46177</v>
      </c>
      <c r="B343" s="38">
        <v>128</v>
      </c>
      <c r="C343" s="42">
        <f t="shared" si="12"/>
        <v>23</v>
      </c>
      <c r="D343" s="38" t="str">
        <f t="shared" si="13"/>
        <v>Jun</v>
      </c>
      <c r="G343" s="14"/>
    </row>
    <row r="344" spans="1:7" ht="14.65" thickBot="1" x14ac:dyDescent="0.5">
      <c r="A344" s="39">
        <v>46182</v>
      </c>
      <c r="B344" s="38">
        <v>240</v>
      </c>
      <c r="C344" s="42">
        <f t="shared" si="12"/>
        <v>24</v>
      </c>
      <c r="D344" s="38" t="str">
        <f t="shared" si="13"/>
        <v>Jun</v>
      </c>
      <c r="G344" s="14"/>
    </row>
    <row r="345" spans="1:7" ht="14.65" thickBot="1" x14ac:dyDescent="0.5">
      <c r="A345" s="39">
        <v>46183</v>
      </c>
      <c r="B345" s="38">
        <v>71</v>
      </c>
      <c r="C345" s="42">
        <f t="shared" si="12"/>
        <v>24</v>
      </c>
      <c r="D345" s="38" t="str">
        <f t="shared" si="13"/>
        <v>Jun</v>
      </c>
      <c r="G345" s="14"/>
    </row>
    <row r="346" spans="1:7" ht="14.65" thickBot="1" x14ac:dyDescent="0.5">
      <c r="A346" s="39">
        <v>46184</v>
      </c>
      <c r="B346" s="38">
        <v>76</v>
      </c>
      <c r="C346" s="42">
        <f t="shared" si="12"/>
        <v>24</v>
      </c>
      <c r="D346" s="38" t="str">
        <f t="shared" si="13"/>
        <v>Jun</v>
      </c>
      <c r="G346" s="14"/>
    </row>
    <row r="347" spans="1:7" ht="14.65" thickBot="1" x14ac:dyDescent="0.5">
      <c r="A347" s="39">
        <v>46185</v>
      </c>
      <c r="B347" s="38">
        <v>79</v>
      </c>
      <c r="C347" s="42">
        <f t="shared" si="12"/>
        <v>24</v>
      </c>
      <c r="D347" s="38" t="str">
        <f t="shared" si="13"/>
        <v>Jun</v>
      </c>
      <c r="G347" s="14"/>
    </row>
    <row r="348" spans="1:7" x14ac:dyDescent="0.45">
      <c r="A348" s="39"/>
    </row>
    <row r="349" spans="1:7" x14ac:dyDescent="0.45">
      <c r="A349" s="39"/>
    </row>
    <row r="350" spans="1:7" x14ac:dyDescent="0.45">
      <c r="A350" s="39"/>
    </row>
    <row r="351" spans="1:7" x14ac:dyDescent="0.45">
      <c r="A351" s="39"/>
    </row>
    <row r="352" spans="1:7" x14ac:dyDescent="0.45">
      <c r="A352" s="39"/>
    </row>
    <row r="353" spans="1:1" x14ac:dyDescent="0.45">
      <c r="A353" s="39"/>
    </row>
    <row r="354" spans="1:1" x14ac:dyDescent="0.45">
      <c r="A354" s="39"/>
    </row>
    <row r="355" spans="1:1" x14ac:dyDescent="0.45">
      <c r="A355" s="39"/>
    </row>
    <row r="356" spans="1:1" x14ac:dyDescent="0.45">
      <c r="A356" s="39"/>
    </row>
    <row r="357" spans="1:1" x14ac:dyDescent="0.45">
      <c r="A357" s="39"/>
    </row>
    <row r="358" spans="1:1" x14ac:dyDescent="0.45">
      <c r="A358" s="39"/>
    </row>
    <row r="359" spans="1:1" x14ac:dyDescent="0.45">
      <c r="A359" s="39"/>
    </row>
    <row r="360" spans="1:1" x14ac:dyDescent="0.45">
      <c r="A360" s="39"/>
    </row>
    <row r="361" spans="1:1" x14ac:dyDescent="0.45">
      <c r="A361" s="39"/>
    </row>
    <row r="362" spans="1:1" x14ac:dyDescent="0.45">
      <c r="A362" s="39"/>
    </row>
    <row r="363" spans="1:1" x14ac:dyDescent="0.45">
      <c r="A363" s="39"/>
    </row>
    <row r="364" spans="1:1" x14ac:dyDescent="0.45">
      <c r="A364" s="39"/>
    </row>
    <row r="365" spans="1:1" x14ac:dyDescent="0.45">
      <c r="A365" s="39"/>
    </row>
    <row r="366" spans="1:1" x14ac:dyDescent="0.45">
      <c r="A366" s="39"/>
    </row>
    <row r="367" spans="1:1" x14ac:dyDescent="0.45">
      <c r="A367" s="39"/>
    </row>
    <row r="368" spans="1:1" x14ac:dyDescent="0.45">
      <c r="A368" s="39"/>
    </row>
    <row r="369" spans="1:1" x14ac:dyDescent="0.45">
      <c r="A369" s="39"/>
    </row>
    <row r="370" spans="1:1" x14ac:dyDescent="0.45">
      <c r="A370" s="39"/>
    </row>
    <row r="371" spans="1:1" x14ac:dyDescent="0.45">
      <c r="A371" s="39"/>
    </row>
    <row r="372" spans="1:1" x14ac:dyDescent="0.45">
      <c r="A372" s="39"/>
    </row>
    <row r="373" spans="1:1" x14ac:dyDescent="0.45">
      <c r="A373" s="39"/>
    </row>
  </sheetData>
  <autoFilter ref="A2:B347" xr:uid="{C5D4E41C-2220-4413-B203-D1CB3232BC3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0C11-6A79-4858-8B37-31D3920621E7}">
  <sheetPr codeName="Sheet5"/>
  <dimension ref="A1:R227"/>
  <sheetViews>
    <sheetView topLeftCell="E11" zoomScaleNormal="100" workbookViewId="0">
      <selection activeCell="L22" sqref="L22"/>
    </sheetView>
  </sheetViews>
  <sheetFormatPr defaultRowHeight="14.25" x14ac:dyDescent="0.45"/>
  <cols>
    <col min="1" max="1" width="19.73046875" bestFit="1" customWidth="1"/>
    <col min="2" max="2" width="36.73046875" style="15" bestFit="1" customWidth="1"/>
    <col min="3" max="3" width="10.73046875" bestFit="1" customWidth="1"/>
    <col min="4" max="4" width="15" bestFit="1" customWidth="1"/>
    <col min="5" max="5" width="11.59765625" bestFit="1" customWidth="1"/>
    <col min="6" max="6" width="15.59765625" bestFit="1" customWidth="1"/>
    <col min="7" max="7" width="13.265625" bestFit="1" customWidth="1"/>
    <col min="8" max="8" width="5.59765625" customWidth="1"/>
    <col min="9" max="9" width="2.59765625" customWidth="1"/>
    <col min="10" max="10" width="9.265625" customWidth="1"/>
    <col min="11" max="13" width="11.73046875" customWidth="1"/>
    <col min="14" max="14" width="24" style="1" customWidth="1"/>
    <col min="15" max="16" width="13.73046875" style="1" customWidth="1"/>
    <col min="17" max="17" width="17" style="1" customWidth="1"/>
    <col min="18" max="18" width="17.59765625" style="1" customWidth="1"/>
  </cols>
  <sheetData>
    <row r="1" spans="1:18" x14ac:dyDescent="0.45">
      <c r="B1"/>
    </row>
    <row r="2" spans="1:18" x14ac:dyDescent="0.45">
      <c r="A2" t="s">
        <v>0</v>
      </c>
      <c r="B2" t="s">
        <v>1</v>
      </c>
    </row>
    <row r="3" spans="1:18" x14ac:dyDescent="0.45">
      <c r="A3" t="s">
        <v>2</v>
      </c>
      <c r="B3" t="s">
        <v>3</v>
      </c>
    </row>
    <row r="4" spans="1:18" s="2" customFormat="1" x14ac:dyDescent="0.45">
      <c r="A4"/>
      <c r="B4"/>
      <c r="C4"/>
      <c r="D4"/>
      <c r="E4"/>
      <c r="F4"/>
      <c r="N4" s="3"/>
      <c r="O4" s="3"/>
      <c r="P4" s="3"/>
      <c r="Q4" s="3"/>
      <c r="R4" s="3"/>
    </row>
    <row r="5" spans="1:18" ht="42.75" x14ac:dyDescent="0.45">
      <c r="A5" s="2" t="s">
        <v>4</v>
      </c>
      <c r="B5" s="2" t="s">
        <v>5</v>
      </c>
      <c r="C5" s="2" t="s">
        <v>6</v>
      </c>
      <c r="D5" t="s">
        <v>7</v>
      </c>
      <c r="E5" s="2" t="s">
        <v>8</v>
      </c>
      <c r="F5" s="2" t="s">
        <v>9</v>
      </c>
      <c r="G5" s="2" t="s">
        <v>10</v>
      </c>
      <c r="H5" s="2" t="s">
        <v>93</v>
      </c>
      <c r="I5" s="17" t="s">
        <v>92</v>
      </c>
      <c r="J5" s="4" t="s">
        <v>11</v>
      </c>
      <c r="K5" s="16"/>
      <c r="L5" s="16"/>
      <c r="M5" s="16"/>
      <c r="N5" s="5" t="s">
        <v>12</v>
      </c>
      <c r="O5" s="5" t="s">
        <v>13</v>
      </c>
      <c r="P5" s="5" t="s">
        <v>14</v>
      </c>
      <c r="Q5" s="5" t="s">
        <v>15</v>
      </c>
      <c r="R5" s="5" t="s">
        <v>16</v>
      </c>
    </row>
    <row r="6" spans="1:18" x14ac:dyDescent="0.45">
      <c r="A6" s="6" t="s">
        <v>17</v>
      </c>
      <c r="B6" s="6" t="s">
        <v>18</v>
      </c>
      <c r="C6" s="6" t="s">
        <v>19</v>
      </c>
      <c r="D6" s="7">
        <v>46205</v>
      </c>
      <c r="E6" s="8">
        <v>23000</v>
      </c>
      <c r="F6" s="9">
        <v>9.7101449275362324</v>
      </c>
      <c r="G6" s="8">
        <v>220142.85714285716</v>
      </c>
      <c r="H6" s="8" t="s">
        <v>11</v>
      </c>
      <c r="I6" t="s">
        <v>20</v>
      </c>
      <c r="J6" s="10">
        <f>+F6-0.4</f>
        <v>9.310144927536232</v>
      </c>
      <c r="K6" s="10"/>
      <c r="L6" s="10"/>
      <c r="M6" s="10"/>
      <c r="N6" s="11">
        <v>4</v>
      </c>
      <c r="O6" s="11" t="s">
        <v>21</v>
      </c>
      <c r="P6" s="11"/>
      <c r="Q6" s="11"/>
      <c r="R6" s="11"/>
    </row>
    <row r="7" spans="1:18" x14ac:dyDescent="0.45">
      <c r="A7" s="6" t="s">
        <v>22</v>
      </c>
      <c r="B7" s="6" t="s">
        <v>23</v>
      </c>
      <c r="C7" s="6" t="s">
        <v>19</v>
      </c>
      <c r="D7" s="6" t="s">
        <v>24</v>
      </c>
      <c r="E7" s="8">
        <v>25000</v>
      </c>
      <c r="F7" s="9">
        <v>10.144927536231885</v>
      </c>
      <c r="G7" s="8">
        <v>250000.00000000003</v>
      </c>
      <c r="H7" s="8" t="s">
        <v>11</v>
      </c>
      <c r="I7" t="s">
        <v>20</v>
      </c>
      <c r="J7" s="10">
        <f>+F7-0.4</f>
        <v>9.7449275362318843</v>
      </c>
      <c r="K7" s="10"/>
      <c r="L7" s="10"/>
      <c r="M7" s="10"/>
      <c r="N7" s="11">
        <v>3</v>
      </c>
      <c r="O7" s="11" t="s">
        <v>25</v>
      </c>
      <c r="P7" s="12">
        <v>3</v>
      </c>
      <c r="Q7" s="11" t="s">
        <v>26</v>
      </c>
      <c r="R7" s="11"/>
    </row>
    <row r="8" spans="1:18" x14ac:dyDescent="0.45">
      <c r="A8" s="6" t="s">
        <v>27</v>
      </c>
      <c r="B8" s="6" t="s">
        <v>23</v>
      </c>
      <c r="C8" s="6" t="s">
        <v>19</v>
      </c>
      <c r="D8" s="6" t="s">
        <v>24</v>
      </c>
      <c r="E8" s="8">
        <v>25000</v>
      </c>
      <c r="F8" s="9">
        <v>10.144927536231885</v>
      </c>
      <c r="G8" s="8">
        <v>250000.00000000003</v>
      </c>
      <c r="H8" s="8" t="s">
        <v>11</v>
      </c>
      <c r="I8" t="s">
        <v>20</v>
      </c>
      <c r="J8" s="10">
        <f t="shared" ref="J8:J18" si="0">+F8-0.4</f>
        <v>9.7449275362318843</v>
      </c>
      <c r="K8" s="10"/>
      <c r="L8" s="10"/>
      <c r="M8" s="10"/>
      <c r="N8" s="11">
        <v>2</v>
      </c>
      <c r="O8" s="11" t="s">
        <v>25</v>
      </c>
      <c r="P8" s="13">
        <v>1.5</v>
      </c>
      <c r="Q8" s="11" t="s">
        <v>28</v>
      </c>
      <c r="R8" s="11"/>
    </row>
    <row r="9" spans="1:18" x14ac:dyDescent="0.45">
      <c r="A9" s="6" t="s">
        <v>29</v>
      </c>
      <c r="B9" s="6" t="s">
        <v>30</v>
      </c>
      <c r="C9" s="6" t="s">
        <v>19</v>
      </c>
      <c r="D9" s="6" t="s">
        <v>24</v>
      </c>
      <c r="E9" s="8">
        <v>22000</v>
      </c>
      <c r="F9" s="9">
        <v>9.7101449275362324</v>
      </c>
      <c r="G9" s="8">
        <v>210571.42857142858</v>
      </c>
      <c r="H9" s="8" t="s">
        <v>11</v>
      </c>
      <c r="I9" t="s">
        <v>20</v>
      </c>
      <c r="J9" s="10">
        <f t="shared" si="0"/>
        <v>9.310144927536232</v>
      </c>
      <c r="K9" s="10"/>
      <c r="L9" s="10"/>
      <c r="M9" s="10"/>
      <c r="N9" s="11">
        <v>1</v>
      </c>
      <c r="O9" s="11" t="s">
        <v>20</v>
      </c>
      <c r="P9" s="13">
        <v>0.8</v>
      </c>
      <c r="Q9" s="11" t="s">
        <v>31</v>
      </c>
      <c r="R9" s="11"/>
    </row>
    <row r="10" spans="1:18" x14ac:dyDescent="0.45">
      <c r="A10" s="6" t="s">
        <v>32</v>
      </c>
      <c r="B10" s="6" t="s">
        <v>30</v>
      </c>
      <c r="C10" s="6" t="s">
        <v>19</v>
      </c>
      <c r="D10" s="6" t="s">
        <v>24</v>
      </c>
      <c r="E10" s="8">
        <v>25000</v>
      </c>
      <c r="F10" s="9">
        <v>10.072463768115943</v>
      </c>
      <c r="G10" s="8">
        <v>248214.28571428574</v>
      </c>
      <c r="H10" s="8" t="s">
        <v>11</v>
      </c>
      <c r="I10" t="s">
        <v>20</v>
      </c>
      <c r="J10" s="10">
        <f t="shared" si="0"/>
        <v>9.6724637681159429</v>
      </c>
      <c r="K10" s="10"/>
      <c r="L10" s="10"/>
      <c r="M10" s="10"/>
      <c r="N10" s="11">
        <v>5</v>
      </c>
      <c r="O10" s="11" t="s">
        <v>33</v>
      </c>
      <c r="P10" s="13">
        <v>0.8</v>
      </c>
      <c r="Q10" s="11" t="s">
        <v>34</v>
      </c>
      <c r="R10" s="11"/>
    </row>
    <row r="11" spans="1:18" x14ac:dyDescent="0.45">
      <c r="A11" s="6" t="s">
        <v>35</v>
      </c>
      <c r="B11" s="6" t="s">
        <v>30</v>
      </c>
      <c r="C11" s="6" t="s">
        <v>19</v>
      </c>
      <c r="D11" s="6" t="s">
        <v>24</v>
      </c>
      <c r="E11" s="8">
        <v>25000</v>
      </c>
      <c r="F11" s="9">
        <v>10.072463768115943</v>
      </c>
      <c r="G11" s="8">
        <v>248214.28571428574</v>
      </c>
      <c r="H11" s="8" t="s">
        <v>11</v>
      </c>
      <c r="I11" t="s">
        <v>20</v>
      </c>
      <c r="J11" s="10">
        <f t="shared" si="0"/>
        <v>9.6724637681159429</v>
      </c>
      <c r="K11" s="10"/>
      <c r="L11" s="10"/>
      <c r="M11" s="10"/>
      <c r="N11" s="11">
        <v>6</v>
      </c>
      <c r="O11" s="11" t="s">
        <v>33</v>
      </c>
      <c r="P11" s="11"/>
      <c r="Q11" s="11"/>
      <c r="R11" s="11"/>
    </row>
    <row r="12" spans="1:18" x14ac:dyDescent="0.45">
      <c r="A12" s="6" t="s">
        <v>36</v>
      </c>
      <c r="B12" s="6" t="s">
        <v>37</v>
      </c>
      <c r="C12" s="6" t="s">
        <v>38</v>
      </c>
      <c r="D12" s="7">
        <v>46202</v>
      </c>
      <c r="E12" s="8">
        <v>15503.2</v>
      </c>
      <c r="F12" s="9">
        <v>9.7101449275362324</v>
      </c>
      <c r="G12" s="8">
        <v>148387.77142857143</v>
      </c>
      <c r="H12" s="8" t="s">
        <v>11</v>
      </c>
      <c r="I12" t="s">
        <v>21</v>
      </c>
      <c r="J12" s="10">
        <f t="shared" si="0"/>
        <v>9.310144927536232</v>
      </c>
      <c r="K12" s="10"/>
      <c r="L12" s="10"/>
      <c r="M12" s="10"/>
      <c r="N12" s="11">
        <v>7</v>
      </c>
      <c r="O12" s="11" t="s">
        <v>33</v>
      </c>
      <c r="P12" s="11"/>
      <c r="Q12" s="11"/>
      <c r="R12" s="11"/>
    </row>
    <row r="13" spans="1:18" x14ac:dyDescent="0.45">
      <c r="A13" s="6" t="s">
        <v>39</v>
      </c>
      <c r="B13" s="6" t="s">
        <v>40</v>
      </c>
      <c r="C13" s="6" t="s">
        <v>41</v>
      </c>
      <c r="D13" s="6" t="s">
        <v>24</v>
      </c>
      <c r="E13" s="8">
        <v>24999</v>
      </c>
      <c r="F13" s="9">
        <v>10.000000000000002</v>
      </c>
      <c r="G13" s="8">
        <v>246418.71428571432</v>
      </c>
      <c r="H13" s="8" t="s">
        <v>11</v>
      </c>
      <c r="I13" t="s">
        <v>20</v>
      </c>
      <c r="J13" s="10">
        <f t="shared" si="0"/>
        <v>9.6000000000000014</v>
      </c>
      <c r="K13" s="10"/>
      <c r="L13" s="10"/>
      <c r="M13" s="10"/>
      <c r="N13" s="11">
        <v>13</v>
      </c>
      <c r="O13" s="11" t="s">
        <v>33</v>
      </c>
      <c r="P13" s="11"/>
      <c r="Q13" s="11"/>
      <c r="R13" s="11"/>
    </row>
    <row r="14" spans="1:18" x14ac:dyDescent="0.45">
      <c r="A14" s="6" t="s">
        <v>42</v>
      </c>
      <c r="B14" s="6" t="s">
        <v>40</v>
      </c>
      <c r="C14" s="6" t="s">
        <v>41</v>
      </c>
      <c r="D14" s="6" t="s">
        <v>24</v>
      </c>
      <c r="E14" s="8">
        <v>24999</v>
      </c>
      <c r="F14" s="9">
        <v>10.000000000000002</v>
      </c>
      <c r="G14" s="8">
        <v>246418.71428571432</v>
      </c>
      <c r="H14" s="8" t="s">
        <v>11</v>
      </c>
      <c r="I14" t="s">
        <v>20</v>
      </c>
      <c r="J14" s="10">
        <f t="shared" si="0"/>
        <v>9.6000000000000014</v>
      </c>
      <c r="K14" s="10"/>
      <c r="L14" s="10"/>
      <c r="M14" s="10"/>
      <c r="N14" s="11">
        <v>9</v>
      </c>
      <c r="O14" s="11" t="s">
        <v>33</v>
      </c>
      <c r="P14" s="11"/>
      <c r="Q14" s="11"/>
      <c r="R14" s="11"/>
    </row>
    <row r="15" spans="1:18" x14ac:dyDescent="0.45">
      <c r="A15" s="6" t="s">
        <v>43</v>
      </c>
      <c r="B15" s="6" t="s">
        <v>44</v>
      </c>
      <c r="C15" s="6" t="s">
        <v>41</v>
      </c>
      <c r="D15" s="6" t="s">
        <v>24</v>
      </c>
      <c r="E15" s="8">
        <v>24999</v>
      </c>
      <c r="F15" s="9">
        <v>10.000000000000002</v>
      </c>
      <c r="G15" s="8">
        <v>246418.71428571432</v>
      </c>
      <c r="H15" s="8" t="s">
        <v>11</v>
      </c>
      <c r="I15" t="s">
        <v>20</v>
      </c>
      <c r="J15" s="10">
        <f t="shared" si="0"/>
        <v>9.6000000000000014</v>
      </c>
      <c r="K15" s="10"/>
      <c r="L15" s="10"/>
      <c r="M15" s="10"/>
      <c r="N15" s="11"/>
      <c r="O15" s="11"/>
      <c r="P15" s="11"/>
      <c r="Q15" s="11"/>
      <c r="R15" s="11"/>
    </row>
    <row r="16" spans="1:18" x14ac:dyDescent="0.45">
      <c r="A16" s="6" t="s">
        <v>45</v>
      </c>
      <c r="B16" s="6" t="s">
        <v>40</v>
      </c>
      <c r="C16" s="6" t="s">
        <v>41</v>
      </c>
      <c r="D16" s="6" t="s">
        <v>24</v>
      </c>
      <c r="E16" s="8">
        <v>17000</v>
      </c>
      <c r="F16" s="9">
        <v>10.289855072463768</v>
      </c>
      <c r="G16" s="8">
        <v>172428.57142857145</v>
      </c>
      <c r="H16" s="8" t="s">
        <v>11</v>
      </c>
      <c r="I16" t="s">
        <v>20</v>
      </c>
      <c r="J16" s="10">
        <f t="shared" si="0"/>
        <v>9.8898550724637673</v>
      </c>
      <c r="K16" s="10"/>
      <c r="L16" s="10"/>
      <c r="M16" s="10"/>
      <c r="N16" s="11"/>
      <c r="O16" s="11"/>
      <c r="P16" s="11"/>
      <c r="Q16" s="11"/>
      <c r="R16" s="11"/>
    </row>
    <row r="17" spans="1:18" x14ac:dyDescent="0.45">
      <c r="A17" s="6" t="s">
        <v>46</v>
      </c>
      <c r="B17" s="6" t="s">
        <v>44</v>
      </c>
      <c r="C17" s="6" t="s">
        <v>19</v>
      </c>
      <c r="D17" s="6" t="s">
        <v>24</v>
      </c>
      <c r="E17" s="8">
        <v>25000</v>
      </c>
      <c r="F17" s="9">
        <v>9.8550724637681171</v>
      </c>
      <c r="G17" s="8">
        <v>242857.14285714287</v>
      </c>
      <c r="H17" s="8" t="s">
        <v>11</v>
      </c>
      <c r="I17" t="s">
        <v>20</v>
      </c>
      <c r="J17" s="10">
        <f t="shared" si="0"/>
        <v>9.4550724637681167</v>
      </c>
      <c r="K17" s="10"/>
      <c r="L17" s="10"/>
      <c r="M17" s="10"/>
      <c r="N17" s="11"/>
      <c r="O17" s="11"/>
      <c r="P17" s="11"/>
      <c r="Q17" s="11"/>
      <c r="R17" s="11"/>
    </row>
    <row r="18" spans="1:18" x14ac:dyDescent="0.45">
      <c r="A18" s="6" t="s">
        <v>47</v>
      </c>
      <c r="B18" s="6" t="s">
        <v>44</v>
      </c>
      <c r="C18" s="6" t="s">
        <v>19</v>
      </c>
      <c r="D18" s="6" t="s">
        <v>24</v>
      </c>
      <c r="E18" s="8">
        <v>25000</v>
      </c>
      <c r="F18" s="9">
        <v>9.8550724637681171</v>
      </c>
      <c r="G18" s="8">
        <v>242857.14285714287</v>
      </c>
      <c r="H18" s="8" t="s">
        <v>11</v>
      </c>
      <c r="I18" t="s">
        <v>20</v>
      </c>
      <c r="J18" s="10">
        <f t="shared" si="0"/>
        <v>9.4550724637681167</v>
      </c>
      <c r="K18" s="10"/>
      <c r="L18" s="10"/>
      <c r="M18" s="10"/>
      <c r="N18" s="11"/>
      <c r="O18" s="11"/>
      <c r="P18" s="11"/>
      <c r="Q18" s="11"/>
      <c r="R18" s="11"/>
    </row>
    <row r="19" spans="1:18" x14ac:dyDescent="0.45">
      <c r="A19" s="6" t="s">
        <v>48</v>
      </c>
      <c r="B19" s="6" t="s">
        <v>49</v>
      </c>
      <c r="C19" s="6" t="s">
        <v>41</v>
      </c>
      <c r="D19" s="6" t="s">
        <v>24</v>
      </c>
      <c r="E19" s="8">
        <v>24999</v>
      </c>
      <c r="F19" s="9">
        <v>8.4</v>
      </c>
      <c r="G19" s="8">
        <v>209991.59999999998</v>
      </c>
      <c r="H19" s="8" t="s">
        <v>50</v>
      </c>
      <c r="I19" t="s">
        <v>21</v>
      </c>
      <c r="J19" s="14" t="s">
        <v>50</v>
      </c>
      <c r="K19" s="14"/>
      <c r="L19" s="14"/>
      <c r="M19" s="14"/>
      <c r="N19" s="11"/>
      <c r="O19" s="11"/>
      <c r="P19" s="11"/>
      <c r="Q19" s="11"/>
      <c r="R19" s="11"/>
    </row>
    <row r="20" spans="1:18" x14ac:dyDescent="0.45">
      <c r="A20" s="6" t="s">
        <v>51</v>
      </c>
      <c r="B20" s="6" t="s">
        <v>52</v>
      </c>
      <c r="C20" s="6" t="s">
        <v>53</v>
      </c>
      <c r="D20" s="6" t="s">
        <v>24</v>
      </c>
      <c r="E20" s="8">
        <v>25000</v>
      </c>
      <c r="F20" s="9">
        <v>6.85</v>
      </c>
      <c r="G20" s="8">
        <v>171250</v>
      </c>
      <c r="H20" s="8" t="s">
        <v>50</v>
      </c>
      <c r="I20" t="s">
        <v>20</v>
      </c>
      <c r="J20" s="14" t="s">
        <v>50</v>
      </c>
      <c r="K20" s="14"/>
      <c r="L20" s="14"/>
      <c r="M20" s="14"/>
    </row>
    <row r="21" spans="1:18" x14ac:dyDescent="0.45">
      <c r="A21" s="6" t="s">
        <v>54</v>
      </c>
      <c r="B21" s="6" t="s">
        <v>52</v>
      </c>
      <c r="C21" s="6" t="s">
        <v>53</v>
      </c>
      <c r="D21" s="6" t="s">
        <v>24</v>
      </c>
      <c r="E21" s="8">
        <v>25000</v>
      </c>
      <c r="F21" s="9">
        <v>6.85</v>
      </c>
      <c r="G21" s="8">
        <v>171250</v>
      </c>
      <c r="H21" s="8" t="s">
        <v>50</v>
      </c>
      <c r="I21" t="s">
        <v>20</v>
      </c>
      <c r="J21" s="14" t="s">
        <v>50</v>
      </c>
      <c r="K21" s="14"/>
      <c r="L21" s="14"/>
      <c r="M21" s="14"/>
    </row>
    <row r="22" spans="1:18" x14ac:dyDescent="0.45">
      <c r="A22" s="6" t="s">
        <v>55</v>
      </c>
      <c r="B22" s="6" t="s">
        <v>52</v>
      </c>
      <c r="C22" s="6" t="s">
        <v>53</v>
      </c>
      <c r="D22" s="6" t="s">
        <v>24</v>
      </c>
      <c r="E22" s="8">
        <v>25000</v>
      </c>
      <c r="F22" s="9">
        <v>6.85</v>
      </c>
      <c r="G22" s="8">
        <v>171250</v>
      </c>
      <c r="H22" s="8" t="s">
        <v>50</v>
      </c>
      <c r="I22" t="s">
        <v>20</v>
      </c>
      <c r="J22" s="14" t="s">
        <v>50</v>
      </c>
      <c r="K22" s="14"/>
      <c r="L22" s="14"/>
      <c r="M22" s="14"/>
      <c r="N22" s="1" t="s">
        <v>56</v>
      </c>
      <c r="O22" s="1" t="s">
        <v>57</v>
      </c>
    </row>
    <row r="23" spans="1:18" x14ac:dyDescent="0.45">
      <c r="A23" s="6" t="s">
        <v>58</v>
      </c>
      <c r="B23" s="6" t="s">
        <v>52</v>
      </c>
      <c r="C23" s="6" t="s">
        <v>53</v>
      </c>
      <c r="D23" s="6" t="s">
        <v>24</v>
      </c>
      <c r="E23" s="8">
        <v>25000</v>
      </c>
      <c r="F23" s="9">
        <v>6.85</v>
      </c>
      <c r="G23" s="8">
        <v>171250</v>
      </c>
      <c r="H23" s="8" t="s">
        <v>50</v>
      </c>
      <c r="I23" t="s">
        <v>20</v>
      </c>
      <c r="J23" s="14" t="s">
        <v>50</v>
      </c>
      <c r="K23" s="14"/>
      <c r="L23" s="14"/>
      <c r="M23" s="14"/>
      <c r="N23" s="1" t="s">
        <v>59</v>
      </c>
      <c r="O23" s="1" t="s">
        <v>60</v>
      </c>
    </row>
    <row r="24" spans="1:18" x14ac:dyDescent="0.45">
      <c r="A24" s="6" t="s">
        <v>61</v>
      </c>
      <c r="B24" s="6" t="s">
        <v>52</v>
      </c>
      <c r="C24" s="6" t="s">
        <v>53</v>
      </c>
      <c r="D24" s="6" t="s">
        <v>24</v>
      </c>
      <c r="E24" s="8">
        <v>25000</v>
      </c>
      <c r="F24" s="9">
        <v>6.85</v>
      </c>
      <c r="G24" s="8">
        <v>171250</v>
      </c>
      <c r="H24" s="8" t="s">
        <v>50</v>
      </c>
      <c r="I24" t="s">
        <v>20</v>
      </c>
      <c r="J24" s="14" t="s">
        <v>50</v>
      </c>
      <c r="K24" s="14"/>
      <c r="L24" s="14"/>
      <c r="M24" s="14"/>
      <c r="N24" s="1" t="s">
        <v>62</v>
      </c>
      <c r="O24" s="1" t="s">
        <v>63</v>
      </c>
    </row>
    <row r="25" spans="1:18" x14ac:dyDescent="0.45">
      <c r="A25" s="6" t="s">
        <v>64</v>
      </c>
      <c r="B25" s="6" t="s">
        <v>52</v>
      </c>
      <c r="C25" s="6" t="s">
        <v>53</v>
      </c>
      <c r="D25" s="6" t="s">
        <v>24</v>
      </c>
      <c r="E25" s="8">
        <v>25000</v>
      </c>
      <c r="F25" s="9">
        <v>6.85</v>
      </c>
      <c r="G25" s="8">
        <v>171250</v>
      </c>
      <c r="H25" s="8" t="s">
        <v>50</v>
      </c>
      <c r="I25" t="s">
        <v>20</v>
      </c>
      <c r="J25" s="14" t="s">
        <v>50</v>
      </c>
      <c r="K25" s="14"/>
      <c r="L25" s="14"/>
      <c r="M25" s="14"/>
      <c r="N25" s="1" t="s">
        <v>65</v>
      </c>
      <c r="O25" s="1" t="s">
        <v>66</v>
      </c>
    </row>
    <row r="26" spans="1:18" x14ac:dyDescent="0.45">
      <c r="A26" s="6" t="s">
        <v>67</v>
      </c>
      <c r="B26" s="6" t="s">
        <v>52</v>
      </c>
      <c r="C26" s="6" t="s">
        <v>53</v>
      </c>
      <c r="D26" s="6" t="s">
        <v>24</v>
      </c>
      <c r="E26" s="8">
        <v>25000</v>
      </c>
      <c r="F26" s="9">
        <v>6.85</v>
      </c>
      <c r="G26" s="8">
        <v>171250</v>
      </c>
      <c r="H26" s="8" t="s">
        <v>50</v>
      </c>
      <c r="I26" t="s">
        <v>20</v>
      </c>
      <c r="J26" s="14" t="s">
        <v>50</v>
      </c>
      <c r="K26" s="14"/>
      <c r="L26" s="14"/>
      <c r="M26" s="14"/>
      <c r="N26" s="1" t="s">
        <v>68</v>
      </c>
      <c r="O26" s="1" t="s">
        <v>69</v>
      </c>
    </row>
    <row r="27" spans="1:18" x14ac:dyDescent="0.45">
      <c r="A27" s="6" t="s">
        <v>70</v>
      </c>
      <c r="B27" s="6" t="s">
        <v>71</v>
      </c>
      <c r="C27" s="6" t="s">
        <v>41</v>
      </c>
      <c r="D27" s="6" t="s">
        <v>24</v>
      </c>
      <c r="E27" s="8">
        <v>24999</v>
      </c>
      <c r="F27" s="9">
        <v>9.5</v>
      </c>
      <c r="G27" s="8">
        <v>237490.5</v>
      </c>
      <c r="H27" s="8" t="s">
        <v>50</v>
      </c>
      <c r="I27" t="s">
        <v>25</v>
      </c>
      <c r="J27" s="14" t="s">
        <v>50</v>
      </c>
      <c r="K27" s="14"/>
      <c r="L27" s="14"/>
      <c r="M27" s="14"/>
      <c r="N27" s="1" t="s">
        <v>72</v>
      </c>
      <c r="O27" s="1" t="s">
        <v>73</v>
      </c>
    </row>
    <row r="28" spans="1:18" x14ac:dyDescent="0.45">
      <c r="A28" s="6" t="s">
        <v>74</v>
      </c>
      <c r="B28" s="6" t="s">
        <v>52</v>
      </c>
      <c r="C28" s="6" t="s">
        <v>75</v>
      </c>
      <c r="D28" s="7">
        <v>46206</v>
      </c>
      <c r="E28" s="8">
        <v>17000</v>
      </c>
      <c r="F28" s="9">
        <v>11.5</v>
      </c>
      <c r="G28" s="8">
        <v>195500</v>
      </c>
      <c r="H28" s="8" t="s">
        <v>50</v>
      </c>
      <c r="I28" t="s">
        <v>25</v>
      </c>
      <c r="J28" s="14" t="s">
        <v>50</v>
      </c>
      <c r="K28" s="14"/>
      <c r="L28" s="14"/>
      <c r="M28" s="14"/>
    </row>
    <row r="29" spans="1:18" x14ac:dyDescent="0.45">
      <c r="A29" s="6" t="s">
        <v>76</v>
      </c>
      <c r="B29" s="6" t="s">
        <v>71</v>
      </c>
      <c r="C29" s="6" t="s">
        <v>75</v>
      </c>
      <c r="D29" s="6" t="s">
        <v>24</v>
      </c>
      <c r="E29" s="8">
        <v>17000</v>
      </c>
      <c r="F29" s="9">
        <v>11.6</v>
      </c>
      <c r="G29" s="8">
        <v>197200</v>
      </c>
      <c r="H29" s="8" t="s">
        <v>50</v>
      </c>
      <c r="I29" t="s">
        <v>20</v>
      </c>
      <c r="J29" s="14" t="s">
        <v>50</v>
      </c>
      <c r="K29" s="14"/>
      <c r="L29" s="14"/>
      <c r="M29" s="14"/>
    </row>
    <row r="30" spans="1:18" x14ac:dyDescent="0.45">
      <c r="A30" s="6" t="s">
        <v>77</v>
      </c>
      <c r="B30" s="6" t="s">
        <v>71</v>
      </c>
      <c r="C30" s="6" t="s">
        <v>75</v>
      </c>
      <c r="D30" s="6" t="s">
        <v>24</v>
      </c>
      <c r="E30" s="8">
        <v>17000</v>
      </c>
      <c r="F30" s="9">
        <v>11.6</v>
      </c>
      <c r="G30" s="8">
        <v>197200</v>
      </c>
      <c r="H30" s="8" t="s">
        <v>50</v>
      </c>
      <c r="I30" t="s">
        <v>20</v>
      </c>
      <c r="J30" s="14" t="s">
        <v>50</v>
      </c>
      <c r="K30" s="14"/>
      <c r="L30" s="14"/>
      <c r="M30" s="14"/>
    </row>
    <row r="31" spans="1:18" x14ac:dyDescent="0.45">
      <c r="A31" s="6" t="s">
        <v>78</v>
      </c>
      <c r="B31" s="6" t="s">
        <v>52</v>
      </c>
      <c r="C31" s="6" t="s">
        <v>41</v>
      </c>
      <c r="D31" s="6" t="s">
        <v>24</v>
      </c>
      <c r="E31" s="8">
        <v>25000</v>
      </c>
      <c r="F31" s="9">
        <v>9.8000000000000007</v>
      </c>
      <c r="G31" s="8">
        <v>245000.00000000003</v>
      </c>
      <c r="H31" s="8" t="s">
        <v>50</v>
      </c>
      <c r="I31" t="s">
        <v>20</v>
      </c>
      <c r="J31" s="14" t="s">
        <v>50</v>
      </c>
      <c r="K31" s="14"/>
      <c r="L31" s="14"/>
      <c r="M31" s="14"/>
    </row>
    <row r="32" spans="1:18" x14ac:dyDescent="0.45">
      <c r="A32" s="6" t="s">
        <v>79</v>
      </c>
      <c r="B32" s="6" t="s">
        <v>80</v>
      </c>
      <c r="C32" s="6" t="s">
        <v>53</v>
      </c>
      <c r="D32" s="6" t="s">
        <v>24</v>
      </c>
      <c r="E32" s="8">
        <v>25000</v>
      </c>
      <c r="F32" s="9">
        <v>6.65</v>
      </c>
      <c r="G32" s="8">
        <v>166250</v>
      </c>
      <c r="H32" s="8" t="s">
        <v>50</v>
      </c>
      <c r="I32" t="s">
        <v>20</v>
      </c>
      <c r="J32" s="14" t="s">
        <v>50</v>
      </c>
      <c r="K32" s="14"/>
      <c r="L32" s="14"/>
      <c r="M32" s="14"/>
    </row>
    <row r="33" spans="1:13" x14ac:dyDescent="0.45">
      <c r="A33" s="6" t="s">
        <v>81</v>
      </c>
      <c r="B33" s="6" t="s">
        <v>80</v>
      </c>
      <c r="C33" s="6" t="s">
        <v>53</v>
      </c>
      <c r="D33" s="6" t="s">
        <v>24</v>
      </c>
      <c r="E33" s="8">
        <v>25000</v>
      </c>
      <c r="F33" s="9">
        <v>6.65</v>
      </c>
      <c r="G33" s="8">
        <v>166250</v>
      </c>
      <c r="H33" s="8" t="s">
        <v>50</v>
      </c>
      <c r="I33" t="s">
        <v>20</v>
      </c>
      <c r="J33" s="14" t="s">
        <v>50</v>
      </c>
      <c r="K33" s="14"/>
      <c r="L33" s="14"/>
      <c r="M33" s="14"/>
    </row>
    <row r="34" spans="1:13" x14ac:dyDescent="0.45">
      <c r="A34" s="6" t="s">
        <v>82</v>
      </c>
      <c r="B34" s="6" t="s">
        <v>83</v>
      </c>
      <c r="C34" s="6" t="s">
        <v>41</v>
      </c>
      <c r="D34" s="6" t="s">
        <v>24</v>
      </c>
      <c r="E34" s="8">
        <v>24000</v>
      </c>
      <c r="F34" s="9">
        <v>9.65</v>
      </c>
      <c r="G34" s="8">
        <v>231600</v>
      </c>
      <c r="H34" s="8" t="s">
        <v>50</v>
      </c>
      <c r="I34" t="s">
        <v>25</v>
      </c>
      <c r="J34" s="14" t="s">
        <v>50</v>
      </c>
      <c r="K34" s="14"/>
      <c r="L34" s="14"/>
      <c r="M34" s="14"/>
    </row>
    <row r="35" spans="1:13" x14ac:dyDescent="0.45">
      <c r="A35" s="6" t="s">
        <v>84</v>
      </c>
      <c r="B35" s="6" t="s">
        <v>85</v>
      </c>
      <c r="C35" s="6" t="s">
        <v>75</v>
      </c>
      <c r="D35" s="7">
        <v>46206</v>
      </c>
      <c r="E35" s="8">
        <v>10000</v>
      </c>
      <c r="F35" s="9">
        <v>11</v>
      </c>
      <c r="G35" s="8">
        <v>110000</v>
      </c>
      <c r="H35" s="8" t="s">
        <v>50</v>
      </c>
      <c r="I35" t="s">
        <v>20</v>
      </c>
      <c r="J35" s="14" t="s">
        <v>50</v>
      </c>
      <c r="K35" s="14"/>
      <c r="L35" s="14"/>
      <c r="M35" s="14"/>
    </row>
    <row r="36" spans="1:13" x14ac:dyDescent="0.45">
      <c r="A36" s="6" t="s">
        <v>86</v>
      </c>
      <c r="B36" s="6" t="s">
        <v>83</v>
      </c>
      <c r="C36" s="6" t="s">
        <v>41</v>
      </c>
      <c r="D36" s="6" t="s">
        <v>24</v>
      </c>
      <c r="E36" s="8">
        <v>24000</v>
      </c>
      <c r="F36" s="9">
        <v>9.75</v>
      </c>
      <c r="G36" s="8">
        <v>234000</v>
      </c>
      <c r="H36" s="8" t="s">
        <v>50</v>
      </c>
      <c r="I36" t="s">
        <v>20</v>
      </c>
      <c r="J36" s="14" t="s">
        <v>50</v>
      </c>
      <c r="K36" s="14"/>
      <c r="L36" s="14"/>
      <c r="M36" s="14"/>
    </row>
    <row r="37" spans="1:13" x14ac:dyDescent="0.45">
      <c r="A37" s="6" t="s">
        <v>87</v>
      </c>
      <c r="B37" s="6" t="s">
        <v>83</v>
      </c>
      <c r="C37" s="6" t="s">
        <v>41</v>
      </c>
      <c r="D37" s="6" t="s">
        <v>24</v>
      </c>
      <c r="E37" s="8">
        <v>24000</v>
      </c>
      <c r="F37" s="9">
        <v>9.75</v>
      </c>
      <c r="G37" s="8">
        <v>234000</v>
      </c>
      <c r="H37" s="8" t="s">
        <v>50</v>
      </c>
      <c r="I37" t="s">
        <v>20</v>
      </c>
      <c r="J37" s="14" t="s">
        <v>50</v>
      </c>
      <c r="K37" s="14"/>
      <c r="L37" s="14"/>
      <c r="M37" s="14"/>
    </row>
    <row r="38" spans="1:13" x14ac:dyDescent="0.45">
      <c r="A38" s="6" t="s">
        <v>88</v>
      </c>
      <c r="B38" s="6" t="s">
        <v>40</v>
      </c>
      <c r="C38" s="6" t="s">
        <v>41</v>
      </c>
      <c r="D38" s="6" t="s">
        <v>24</v>
      </c>
      <c r="E38" s="8">
        <v>16000</v>
      </c>
      <c r="F38" s="9">
        <v>10.072463768115943</v>
      </c>
      <c r="G38" s="8">
        <v>158857.14285714287</v>
      </c>
      <c r="H38" s="8" t="s">
        <v>11</v>
      </c>
      <c r="I38" t="s">
        <v>20</v>
      </c>
      <c r="J38" s="10">
        <f>+F38-0.4</f>
        <v>9.6724637681159429</v>
      </c>
      <c r="K38" s="10"/>
      <c r="L38" s="10"/>
      <c r="M38" s="10"/>
    </row>
    <row r="39" spans="1:13" x14ac:dyDescent="0.45">
      <c r="A39" s="6" t="s">
        <v>89</v>
      </c>
      <c r="B39" s="6" t="s">
        <v>40</v>
      </c>
      <c r="C39" s="6" t="s">
        <v>41</v>
      </c>
      <c r="D39" s="6" t="s">
        <v>24</v>
      </c>
      <c r="E39" s="8">
        <v>16000</v>
      </c>
      <c r="F39" s="9">
        <v>10.144927536231885</v>
      </c>
      <c r="G39" s="8">
        <v>160000</v>
      </c>
      <c r="H39" s="8" t="s">
        <v>11</v>
      </c>
      <c r="I39" t="s">
        <v>20</v>
      </c>
      <c r="J39" s="10">
        <f>+F39-0.4</f>
        <v>9.7449275362318843</v>
      </c>
      <c r="K39" s="10"/>
      <c r="L39" s="10"/>
      <c r="M39" s="10"/>
    </row>
    <row r="40" spans="1:13" x14ac:dyDescent="0.45">
      <c r="A40" s="6" t="s">
        <v>90</v>
      </c>
      <c r="B40" s="6" t="s">
        <v>83</v>
      </c>
      <c r="C40" s="6" t="s">
        <v>41</v>
      </c>
      <c r="D40" s="6" t="s">
        <v>24</v>
      </c>
      <c r="E40" s="8">
        <v>24000</v>
      </c>
      <c r="F40" s="9">
        <v>9.75</v>
      </c>
      <c r="G40" s="8">
        <v>234000</v>
      </c>
      <c r="H40" s="8" t="s">
        <v>11</v>
      </c>
      <c r="I40" t="s">
        <v>20</v>
      </c>
      <c r="J40" s="14" t="s">
        <v>50</v>
      </c>
      <c r="K40" s="14"/>
      <c r="L40" s="14"/>
      <c r="M40" s="14"/>
    </row>
    <row r="41" spans="1:13" x14ac:dyDescent="0.45">
      <c r="A41" s="6" t="s">
        <v>91</v>
      </c>
      <c r="B41"/>
      <c r="E41" s="8">
        <v>791498.2</v>
      </c>
      <c r="F41" s="9">
        <v>8.5489941596366084</v>
      </c>
      <c r="G41" s="8">
        <v>7149018.8714285707</v>
      </c>
      <c r="H41" s="8"/>
    </row>
    <row r="42" spans="1:13" x14ac:dyDescent="0.45">
      <c r="B42"/>
    </row>
    <row r="43" spans="1:13" x14ac:dyDescent="0.45">
      <c r="B43"/>
    </row>
    <row r="44" spans="1:13" x14ac:dyDescent="0.45">
      <c r="B44"/>
    </row>
    <row r="45" spans="1:13" x14ac:dyDescent="0.45">
      <c r="B45"/>
    </row>
    <row r="46" spans="1:13" x14ac:dyDescent="0.45">
      <c r="B46"/>
    </row>
    <row r="47" spans="1:13" x14ac:dyDescent="0.45">
      <c r="B47"/>
    </row>
    <row r="48" spans="1:13" x14ac:dyDescent="0.45">
      <c r="B48"/>
    </row>
    <row r="49" spans="2:2" x14ac:dyDescent="0.45">
      <c r="B49"/>
    </row>
    <row r="50" spans="2:2" x14ac:dyDescent="0.45">
      <c r="B50"/>
    </row>
    <row r="51" spans="2:2" x14ac:dyDescent="0.45">
      <c r="B51"/>
    </row>
    <row r="52" spans="2:2" x14ac:dyDescent="0.45">
      <c r="B52"/>
    </row>
    <row r="53" spans="2:2" x14ac:dyDescent="0.45">
      <c r="B53"/>
    </row>
    <row r="54" spans="2:2" x14ac:dyDescent="0.45">
      <c r="B54"/>
    </row>
    <row r="55" spans="2:2" x14ac:dyDescent="0.45">
      <c r="B55"/>
    </row>
    <row r="56" spans="2:2" x14ac:dyDescent="0.45">
      <c r="B56"/>
    </row>
    <row r="57" spans="2:2" x14ac:dyDescent="0.45">
      <c r="B57"/>
    </row>
    <row r="58" spans="2:2" x14ac:dyDescent="0.45">
      <c r="B58"/>
    </row>
    <row r="59" spans="2:2" x14ac:dyDescent="0.45">
      <c r="B59"/>
    </row>
    <row r="60" spans="2:2" x14ac:dyDescent="0.45">
      <c r="B60"/>
    </row>
    <row r="61" spans="2:2" x14ac:dyDescent="0.45">
      <c r="B61"/>
    </row>
    <row r="62" spans="2:2" x14ac:dyDescent="0.45">
      <c r="B62"/>
    </row>
    <row r="63" spans="2:2" x14ac:dyDescent="0.45">
      <c r="B63"/>
    </row>
    <row r="64" spans="2:2" x14ac:dyDescent="0.45">
      <c r="B64"/>
    </row>
    <row r="65" spans="2:2" x14ac:dyDescent="0.45">
      <c r="B65"/>
    </row>
    <row r="66" spans="2:2" x14ac:dyDescent="0.45">
      <c r="B66"/>
    </row>
    <row r="67" spans="2:2" x14ac:dyDescent="0.45">
      <c r="B67"/>
    </row>
    <row r="68" spans="2:2" x14ac:dyDescent="0.45">
      <c r="B68"/>
    </row>
    <row r="69" spans="2:2" x14ac:dyDescent="0.45">
      <c r="B69"/>
    </row>
    <row r="70" spans="2:2" x14ac:dyDescent="0.45">
      <c r="B70"/>
    </row>
    <row r="71" spans="2:2" x14ac:dyDescent="0.45">
      <c r="B71"/>
    </row>
    <row r="72" spans="2:2" x14ac:dyDescent="0.45">
      <c r="B72"/>
    </row>
    <row r="73" spans="2:2" x14ac:dyDescent="0.45">
      <c r="B73"/>
    </row>
    <row r="74" spans="2:2" x14ac:dyDescent="0.45">
      <c r="B74"/>
    </row>
    <row r="75" spans="2:2" x14ac:dyDescent="0.45">
      <c r="B75"/>
    </row>
    <row r="76" spans="2:2" x14ac:dyDescent="0.45">
      <c r="B76"/>
    </row>
    <row r="77" spans="2:2" x14ac:dyDescent="0.45">
      <c r="B77"/>
    </row>
    <row r="78" spans="2:2" x14ac:dyDescent="0.45">
      <c r="B78"/>
    </row>
    <row r="79" spans="2:2" x14ac:dyDescent="0.45">
      <c r="B79"/>
    </row>
    <row r="80" spans="2:2" x14ac:dyDescent="0.45">
      <c r="B80"/>
    </row>
    <row r="81" spans="2:2" x14ac:dyDescent="0.45">
      <c r="B81"/>
    </row>
    <row r="82" spans="2:2" x14ac:dyDescent="0.45">
      <c r="B82"/>
    </row>
    <row r="83" spans="2:2" x14ac:dyDescent="0.45">
      <c r="B83"/>
    </row>
    <row r="84" spans="2:2" x14ac:dyDescent="0.45">
      <c r="B84"/>
    </row>
    <row r="85" spans="2:2" x14ac:dyDescent="0.45">
      <c r="B85"/>
    </row>
    <row r="86" spans="2:2" x14ac:dyDescent="0.45">
      <c r="B86"/>
    </row>
    <row r="87" spans="2:2" x14ac:dyDescent="0.45">
      <c r="B87"/>
    </row>
    <row r="88" spans="2:2" x14ac:dyDescent="0.45">
      <c r="B88"/>
    </row>
    <row r="89" spans="2:2" x14ac:dyDescent="0.45">
      <c r="B89"/>
    </row>
    <row r="90" spans="2:2" x14ac:dyDescent="0.45">
      <c r="B90"/>
    </row>
    <row r="91" spans="2:2" x14ac:dyDescent="0.45">
      <c r="B91"/>
    </row>
    <row r="92" spans="2:2" x14ac:dyDescent="0.45">
      <c r="B92"/>
    </row>
    <row r="93" spans="2:2" x14ac:dyDescent="0.45">
      <c r="B93"/>
    </row>
    <row r="94" spans="2:2" x14ac:dyDescent="0.45">
      <c r="B94"/>
    </row>
    <row r="95" spans="2:2" x14ac:dyDescent="0.45">
      <c r="B95"/>
    </row>
    <row r="96" spans="2:2" x14ac:dyDescent="0.45">
      <c r="B96"/>
    </row>
    <row r="97" spans="2:2" x14ac:dyDescent="0.45">
      <c r="B97"/>
    </row>
    <row r="98" spans="2:2" x14ac:dyDescent="0.45">
      <c r="B98"/>
    </row>
    <row r="99" spans="2:2" x14ac:dyDescent="0.45">
      <c r="B99"/>
    </row>
    <row r="100" spans="2:2" x14ac:dyDescent="0.45">
      <c r="B100"/>
    </row>
    <row r="101" spans="2:2" x14ac:dyDescent="0.45">
      <c r="B101"/>
    </row>
    <row r="102" spans="2:2" x14ac:dyDescent="0.45">
      <c r="B102"/>
    </row>
    <row r="103" spans="2:2" x14ac:dyDescent="0.45">
      <c r="B103"/>
    </row>
    <row r="104" spans="2:2" x14ac:dyDescent="0.45">
      <c r="B104"/>
    </row>
    <row r="105" spans="2:2" x14ac:dyDescent="0.45">
      <c r="B105"/>
    </row>
    <row r="106" spans="2:2" x14ac:dyDescent="0.45">
      <c r="B106"/>
    </row>
    <row r="107" spans="2:2" x14ac:dyDescent="0.45">
      <c r="B107"/>
    </row>
    <row r="108" spans="2:2" x14ac:dyDescent="0.45">
      <c r="B108"/>
    </row>
    <row r="109" spans="2:2" x14ac:dyDescent="0.45">
      <c r="B109"/>
    </row>
    <row r="110" spans="2:2" x14ac:dyDescent="0.45">
      <c r="B110"/>
    </row>
    <row r="111" spans="2:2" x14ac:dyDescent="0.45">
      <c r="B111"/>
    </row>
    <row r="112" spans="2:2" x14ac:dyDescent="0.45">
      <c r="B112"/>
    </row>
    <row r="113" spans="2:2" x14ac:dyDescent="0.45">
      <c r="B113"/>
    </row>
    <row r="114" spans="2:2" x14ac:dyDescent="0.45">
      <c r="B114"/>
    </row>
    <row r="115" spans="2:2" x14ac:dyDescent="0.45">
      <c r="B115"/>
    </row>
    <row r="116" spans="2:2" x14ac:dyDescent="0.45">
      <c r="B116"/>
    </row>
    <row r="117" spans="2:2" x14ac:dyDescent="0.45">
      <c r="B117"/>
    </row>
    <row r="118" spans="2:2" x14ac:dyDescent="0.45">
      <c r="B118"/>
    </row>
    <row r="119" spans="2:2" x14ac:dyDescent="0.45">
      <c r="B119"/>
    </row>
    <row r="120" spans="2:2" x14ac:dyDescent="0.45">
      <c r="B120"/>
    </row>
    <row r="121" spans="2:2" x14ac:dyDescent="0.45">
      <c r="B121"/>
    </row>
    <row r="122" spans="2:2" x14ac:dyDescent="0.45">
      <c r="B122"/>
    </row>
    <row r="123" spans="2:2" x14ac:dyDescent="0.45">
      <c r="B123"/>
    </row>
    <row r="124" spans="2:2" x14ac:dyDescent="0.45">
      <c r="B124"/>
    </row>
    <row r="125" spans="2:2" x14ac:dyDescent="0.45">
      <c r="B125"/>
    </row>
    <row r="126" spans="2:2" x14ac:dyDescent="0.45">
      <c r="B126"/>
    </row>
    <row r="127" spans="2:2" x14ac:dyDescent="0.45">
      <c r="B127"/>
    </row>
    <row r="128" spans="2:2" x14ac:dyDescent="0.45">
      <c r="B128"/>
    </row>
    <row r="129" spans="2:2" x14ac:dyDescent="0.45">
      <c r="B129"/>
    </row>
    <row r="130" spans="2:2" x14ac:dyDescent="0.45">
      <c r="B130"/>
    </row>
    <row r="131" spans="2:2" x14ac:dyDescent="0.45">
      <c r="B131"/>
    </row>
    <row r="132" spans="2:2" x14ac:dyDescent="0.45">
      <c r="B132"/>
    </row>
    <row r="133" spans="2:2" x14ac:dyDescent="0.45">
      <c r="B133"/>
    </row>
    <row r="134" spans="2:2" x14ac:dyDescent="0.45">
      <c r="B134"/>
    </row>
    <row r="135" spans="2:2" x14ac:dyDescent="0.45">
      <c r="B135"/>
    </row>
    <row r="136" spans="2:2" x14ac:dyDescent="0.45">
      <c r="B136"/>
    </row>
    <row r="137" spans="2:2" x14ac:dyDescent="0.45">
      <c r="B137"/>
    </row>
    <row r="138" spans="2:2" x14ac:dyDescent="0.45">
      <c r="B138"/>
    </row>
    <row r="139" spans="2:2" x14ac:dyDescent="0.45">
      <c r="B139"/>
    </row>
    <row r="140" spans="2:2" x14ac:dyDescent="0.45">
      <c r="B140"/>
    </row>
    <row r="141" spans="2:2" x14ac:dyDescent="0.45">
      <c r="B141"/>
    </row>
    <row r="142" spans="2:2" x14ac:dyDescent="0.45">
      <c r="B142"/>
    </row>
    <row r="143" spans="2:2" x14ac:dyDescent="0.45">
      <c r="B143"/>
    </row>
    <row r="144" spans="2:2" x14ac:dyDescent="0.45">
      <c r="B144"/>
    </row>
    <row r="145" spans="2:2" x14ac:dyDescent="0.45">
      <c r="B145"/>
    </row>
    <row r="146" spans="2:2" x14ac:dyDescent="0.45">
      <c r="B146"/>
    </row>
    <row r="147" spans="2:2" x14ac:dyDescent="0.45">
      <c r="B147"/>
    </row>
    <row r="148" spans="2:2" x14ac:dyDescent="0.45">
      <c r="B148"/>
    </row>
    <row r="149" spans="2:2" x14ac:dyDescent="0.45">
      <c r="B149"/>
    </row>
    <row r="150" spans="2:2" x14ac:dyDescent="0.45">
      <c r="B150"/>
    </row>
    <row r="151" spans="2:2" x14ac:dyDescent="0.45">
      <c r="B151"/>
    </row>
    <row r="152" spans="2:2" x14ac:dyDescent="0.45">
      <c r="B152"/>
    </row>
    <row r="153" spans="2:2" x14ac:dyDescent="0.45">
      <c r="B153"/>
    </row>
    <row r="154" spans="2:2" x14ac:dyDescent="0.45">
      <c r="B154"/>
    </row>
    <row r="155" spans="2:2" x14ac:dyDescent="0.45">
      <c r="B155"/>
    </row>
    <row r="156" spans="2:2" x14ac:dyDescent="0.45">
      <c r="B156"/>
    </row>
    <row r="157" spans="2:2" x14ac:dyDescent="0.45">
      <c r="B157"/>
    </row>
    <row r="158" spans="2:2" x14ac:dyDescent="0.45">
      <c r="B158"/>
    </row>
    <row r="159" spans="2:2" x14ac:dyDescent="0.45">
      <c r="B159"/>
    </row>
    <row r="160" spans="2:2" x14ac:dyDescent="0.45">
      <c r="B160"/>
    </row>
    <row r="161" spans="2:2" x14ac:dyDescent="0.45">
      <c r="B161"/>
    </row>
    <row r="162" spans="2:2" x14ac:dyDescent="0.45">
      <c r="B162"/>
    </row>
    <row r="163" spans="2:2" x14ac:dyDescent="0.45">
      <c r="B163"/>
    </row>
    <row r="164" spans="2:2" x14ac:dyDescent="0.45">
      <c r="B164"/>
    </row>
    <row r="165" spans="2:2" x14ac:dyDescent="0.45">
      <c r="B165"/>
    </row>
    <row r="166" spans="2:2" x14ac:dyDescent="0.45">
      <c r="B166"/>
    </row>
    <row r="167" spans="2:2" x14ac:dyDescent="0.45">
      <c r="B167"/>
    </row>
    <row r="168" spans="2:2" x14ac:dyDescent="0.45">
      <c r="B168"/>
    </row>
    <row r="169" spans="2:2" x14ac:dyDescent="0.45">
      <c r="B169"/>
    </row>
    <row r="170" spans="2:2" x14ac:dyDescent="0.45">
      <c r="B170"/>
    </row>
    <row r="171" spans="2:2" x14ac:dyDescent="0.45">
      <c r="B171"/>
    </row>
    <row r="172" spans="2:2" x14ac:dyDescent="0.45">
      <c r="B172"/>
    </row>
    <row r="173" spans="2:2" x14ac:dyDescent="0.45">
      <c r="B173"/>
    </row>
    <row r="174" spans="2:2" x14ac:dyDescent="0.45">
      <c r="B174"/>
    </row>
    <row r="175" spans="2:2" x14ac:dyDescent="0.45">
      <c r="B175"/>
    </row>
    <row r="176" spans="2:2" x14ac:dyDescent="0.45">
      <c r="B176"/>
    </row>
    <row r="177" spans="2:2" x14ac:dyDescent="0.45">
      <c r="B177"/>
    </row>
    <row r="178" spans="2:2" x14ac:dyDescent="0.45">
      <c r="B178"/>
    </row>
    <row r="179" spans="2:2" x14ac:dyDescent="0.45">
      <c r="B179"/>
    </row>
    <row r="180" spans="2:2" x14ac:dyDescent="0.45">
      <c r="B180"/>
    </row>
    <row r="181" spans="2:2" x14ac:dyDescent="0.45">
      <c r="B181"/>
    </row>
    <row r="182" spans="2:2" x14ac:dyDescent="0.45">
      <c r="B182"/>
    </row>
    <row r="183" spans="2:2" x14ac:dyDescent="0.45">
      <c r="B183"/>
    </row>
    <row r="184" spans="2:2" x14ac:dyDescent="0.45">
      <c r="B184"/>
    </row>
    <row r="185" spans="2:2" x14ac:dyDescent="0.45">
      <c r="B185"/>
    </row>
    <row r="186" spans="2:2" x14ac:dyDescent="0.45">
      <c r="B186"/>
    </row>
    <row r="187" spans="2:2" x14ac:dyDescent="0.45">
      <c r="B187"/>
    </row>
    <row r="188" spans="2:2" x14ac:dyDescent="0.45">
      <c r="B188"/>
    </row>
    <row r="189" spans="2:2" x14ac:dyDescent="0.45">
      <c r="B189"/>
    </row>
    <row r="190" spans="2:2" x14ac:dyDescent="0.45">
      <c r="B190"/>
    </row>
    <row r="191" spans="2:2" x14ac:dyDescent="0.45">
      <c r="B191"/>
    </row>
    <row r="192" spans="2:2" x14ac:dyDescent="0.45">
      <c r="B192"/>
    </row>
    <row r="193" spans="2:2" x14ac:dyDescent="0.45">
      <c r="B193"/>
    </row>
    <row r="194" spans="2:2" x14ac:dyDescent="0.45">
      <c r="B194"/>
    </row>
    <row r="195" spans="2:2" x14ac:dyDescent="0.45">
      <c r="B195"/>
    </row>
    <row r="196" spans="2:2" x14ac:dyDescent="0.45">
      <c r="B196"/>
    </row>
    <row r="197" spans="2:2" x14ac:dyDescent="0.45">
      <c r="B197"/>
    </row>
    <row r="198" spans="2:2" x14ac:dyDescent="0.45">
      <c r="B198"/>
    </row>
    <row r="199" spans="2:2" x14ac:dyDescent="0.45">
      <c r="B199"/>
    </row>
    <row r="200" spans="2:2" x14ac:dyDescent="0.45">
      <c r="B200"/>
    </row>
    <row r="201" spans="2:2" x14ac:dyDescent="0.45">
      <c r="B201"/>
    </row>
    <row r="202" spans="2:2" x14ac:dyDescent="0.45">
      <c r="B202"/>
    </row>
    <row r="203" spans="2:2" x14ac:dyDescent="0.45">
      <c r="B203"/>
    </row>
    <row r="204" spans="2:2" x14ac:dyDescent="0.45">
      <c r="B204"/>
    </row>
    <row r="205" spans="2:2" x14ac:dyDescent="0.45">
      <c r="B205"/>
    </row>
    <row r="206" spans="2:2" x14ac:dyDescent="0.45">
      <c r="B206"/>
    </row>
    <row r="207" spans="2:2" x14ac:dyDescent="0.45">
      <c r="B207"/>
    </row>
    <row r="208" spans="2:2" x14ac:dyDescent="0.45">
      <c r="B208"/>
    </row>
    <row r="209" spans="2:2" x14ac:dyDescent="0.45">
      <c r="B209"/>
    </row>
    <row r="210" spans="2:2" x14ac:dyDescent="0.45">
      <c r="B210"/>
    </row>
    <row r="211" spans="2:2" x14ac:dyDescent="0.45">
      <c r="B211"/>
    </row>
    <row r="212" spans="2:2" x14ac:dyDescent="0.45">
      <c r="B212"/>
    </row>
    <row r="213" spans="2:2" x14ac:dyDescent="0.45">
      <c r="B213"/>
    </row>
    <row r="214" spans="2:2" x14ac:dyDescent="0.45">
      <c r="B214"/>
    </row>
    <row r="215" spans="2:2" x14ac:dyDescent="0.45">
      <c r="B215"/>
    </row>
    <row r="216" spans="2:2" x14ac:dyDescent="0.45">
      <c r="B216"/>
    </row>
    <row r="217" spans="2:2" x14ac:dyDescent="0.45">
      <c r="B217"/>
    </row>
    <row r="218" spans="2:2" x14ac:dyDescent="0.45">
      <c r="B218"/>
    </row>
    <row r="219" spans="2:2" x14ac:dyDescent="0.45">
      <c r="B219"/>
    </row>
    <row r="220" spans="2:2" x14ac:dyDescent="0.45">
      <c r="B220"/>
    </row>
    <row r="221" spans="2:2" x14ac:dyDescent="0.45">
      <c r="B221"/>
    </row>
    <row r="222" spans="2:2" x14ac:dyDescent="0.45">
      <c r="B222"/>
    </row>
    <row r="223" spans="2:2" x14ac:dyDescent="0.45">
      <c r="B223"/>
    </row>
    <row r="224" spans="2:2" x14ac:dyDescent="0.45">
      <c r="B224"/>
    </row>
    <row r="225" spans="2:2" x14ac:dyDescent="0.45">
      <c r="B225"/>
    </row>
    <row r="226" spans="2:2" x14ac:dyDescent="0.45">
      <c r="B226"/>
    </row>
    <row r="227" spans="2:2" x14ac:dyDescent="0.45">
      <c r="B227"/>
    </row>
  </sheetData>
  <pageMargins left="0.7" right="0.7" top="0.75" bottom="0.75" header="0.3" footer="0.3"/>
  <pageSetup paperSize="9" scale="72" orientation="portrait" verticalDpi="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0B2E4B-2633-4CE8-B05D-7A048E055501}">
          <x14:formula1>
            <xm:f>Sheet1!$B$3:$B$4</xm:f>
          </x14:formula1>
          <xm:sqref>H6:H40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63A9-8FF8-4E25-9D6A-95482452D4C1}">
  <sheetPr codeName="Sheet6"/>
  <dimension ref="B2:P11"/>
  <sheetViews>
    <sheetView workbookViewId="0">
      <selection activeCell="J6" sqref="J6"/>
    </sheetView>
  </sheetViews>
  <sheetFormatPr defaultRowHeight="14.25" x14ac:dyDescent="0.45"/>
  <sheetData>
    <row r="2" spans="2:16" x14ac:dyDescent="0.45">
      <c r="G2" t="s">
        <v>103</v>
      </c>
      <c r="K2" s="127" t="s">
        <v>104</v>
      </c>
      <c r="L2" s="127"/>
    </row>
    <row r="3" spans="2:16" x14ac:dyDescent="0.45">
      <c r="B3" t="s">
        <v>11</v>
      </c>
      <c r="D3" t="s">
        <v>96</v>
      </c>
      <c r="E3" s="18">
        <v>2</v>
      </c>
      <c r="G3" t="s">
        <v>19</v>
      </c>
      <c r="H3" s="14">
        <v>8</v>
      </c>
      <c r="K3" t="s">
        <v>19</v>
      </c>
      <c r="L3">
        <v>10</v>
      </c>
      <c r="O3" t="s">
        <v>19</v>
      </c>
      <c r="P3">
        <v>22</v>
      </c>
    </row>
    <row r="4" spans="2:16" x14ac:dyDescent="0.45">
      <c r="B4" t="s">
        <v>50</v>
      </c>
      <c r="D4" t="s">
        <v>100</v>
      </c>
      <c r="E4" s="18">
        <v>4</v>
      </c>
      <c r="G4" t="s">
        <v>38</v>
      </c>
      <c r="H4" s="14">
        <v>8</v>
      </c>
      <c r="K4" t="s">
        <v>38</v>
      </c>
      <c r="L4">
        <v>10</v>
      </c>
      <c r="O4" t="s">
        <v>38</v>
      </c>
      <c r="P4">
        <v>24</v>
      </c>
    </row>
    <row r="5" spans="2:16" x14ac:dyDescent="0.45">
      <c r="D5" t="s">
        <v>97</v>
      </c>
      <c r="E5" s="18">
        <v>7</v>
      </c>
      <c r="G5" t="s">
        <v>41</v>
      </c>
      <c r="H5" s="14">
        <v>6</v>
      </c>
      <c r="K5" t="s">
        <v>41</v>
      </c>
      <c r="L5">
        <v>0</v>
      </c>
      <c r="O5" t="s">
        <v>41</v>
      </c>
      <c r="P5">
        <v>14</v>
      </c>
    </row>
    <row r="6" spans="2:16" x14ac:dyDescent="0.45">
      <c r="G6" t="s">
        <v>53</v>
      </c>
      <c r="H6" s="14">
        <v>11</v>
      </c>
      <c r="K6" t="s">
        <v>53</v>
      </c>
      <c r="L6">
        <v>12</v>
      </c>
      <c r="O6" t="s">
        <v>53</v>
      </c>
      <c r="P6">
        <v>17</v>
      </c>
    </row>
    <row r="7" spans="2:16" x14ac:dyDescent="0.45">
      <c r="G7" t="s">
        <v>75</v>
      </c>
      <c r="H7" s="14">
        <v>11</v>
      </c>
      <c r="K7" t="s">
        <v>75</v>
      </c>
      <c r="L7">
        <v>10</v>
      </c>
      <c r="O7" t="s">
        <v>75</v>
      </c>
      <c r="P7">
        <v>19</v>
      </c>
    </row>
    <row r="11" spans="2:16" x14ac:dyDescent="0.45">
      <c r="B11" t="s">
        <v>107</v>
      </c>
    </row>
  </sheetData>
  <mergeCells count="1">
    <mergeCell ref="K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Profitability Analysis</vt:lpstr>
      <vt:lpstr>Summary</vt:lpstr>
      <vt:lpstr>Offal</vt:lpstr>
      <vt:lpstr>Veal</vt:lpstr>
      <vt:lpstr>Financial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Janeth Montano</dc:creator>
  <cp:lastModifiedBy>Wan Bing</cp:lastModifiedBy>
  <dcterms:created xsi:type="dcterms:W3CDTF">2026-07-03T03:53:10Z</dcterms:created>
  <dcterms:modified xsi:type="dcterms:W3CDTF">2026-08-07T07:27:37Z</dcterms:modified>
</cp:coreProperties>
</file>